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zub\Documents\Invention 2\x\Packs\Gospel of John\"/>
    </mc:Choice>
  </mc:AlternateContent>
  <xr:revisionPtr revIDLastSave="0" documentId="13_ncr:1_{247EBE0C-B57F-4BDF-A195-FD90E64EB4F7}" xr6:coauthVersionLast="47" xr6:coauthVersionMax="47" xr10:uidLastSave="{00000000-0000-0000-0000-000000000000}"/>
  <bookViews>
    <workbookView xWindow="-120" yWindow="-120" windowWidth="29040" windowHeight="15720" activeTab="1" xr2:uid="{95B8EEE8-7075-41FB-AA73-19D746CA44D1}"/>
  </bookViews>
  <sheets>
    <sheet name="John Stats" sheetId="1" r:id="rId1"/>
    <sheet name="bubble data" sheetId="4" r:id="rId2"/>
    <sheet name="chapter locations" sheetId="3" r:id="rId3"/>
    <sheet name="City Level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B23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" i="3"/>
  <c r="M17" i="1"/>
  <c r="N17" i="1" s="1"/>
  <c r="O17" i="1" s="1"/>
</calcChain>
</file>

<file path=xl/sharedStrings.xml><?xml version="1.0" encoding="utf-8"?>
<sst xmlns="http://schemas.openxmlformats.org/spreadsheetml/2006/main" count="531" uniqueCount="374">
  <si>
    <t xml:space="preserve">I. Prologue: Presenting Jesus, Israel’s Messiah—The Source of Light and Life That Makes Us Children of God (1:1–18) </t>
  </si>
  <si>
    <t xml:space="preserve">1:1–18 A Poem about the Messiah’s Cosmic Status and Mission to Israel </t>
  </si>
  <si>
    <t xml:space="preserve">II. Presenting Jesus of Nazareth, Israel’s Messiah (1:19–51) </t>
  </si>
  <si>
    <t xml:space="preserve">1:19–28 The Witness of John the Prophet about Himself </t>
  </si>
  <si>
    <t xml:space="preserve">1:29–34 The Witness of John the Prophet about Jesus </t>
  </si>
  <si>
    <t xml:space="preserve">1:35–51 The Origins of Jesus’ (Our) Antisociety </t>
  </si>
  <si>
    <t xml:space="preserve">1:35–42 Jesus’ First Invitation </t>
  </si>
  <si>
    <t xml:space="preserve">1:43–51 Jesus’ Second Invitation </t>
  </si>
  <si>
    <t xml:space="preserve">III. Jesus Began Bringing Life to Israel: From Galilee to Jerusalem and Back (2:1–4:54) </t>
  </si>
  <si>
    <t xml:space="preserve">2:1–12 A Wedding in Galilee: Jesus’ Initial Self-Disclosure </t>
  </si>
  <si>
    <t xml:space="preserve">2:13–25 First Passover: Jesus’ Opposition to the Temple System Elicits Belief </t>
  </si>
  <si>
    <t xml:space="preserve">3:1–21 Jesus’ Conversation with Nicodemus Signals the Coming Opposition between Believers Who Have New Life and Unbelievers Who Do Not </t>
  </si>
  <si>
    <t xml:space="preserve">Addendum Son of Man, Son, Light 3:13–21 </t>
  </si>
  <si>
    <t xml:space="preserve">3:22–36 John’s Affirmation of Jesus’ Superiority Signals Coming Opposition Between Believers Who Have New Life and Unbelievers Who Do Not </t>
  </si>
  <si>
    <t xml:space="preserve">Addendum Belief in Son = eternal life, otherwise wrath of God 3:31–35 </t>
  </si>
  <si>
    <t xml:space="preserve">4:1–42 On the Way Back to Galilee: Jesus Encounters a Samaritan Woman </t>
  </si>
  <si>
    <t xml:space="preserve">4:43–45 Jesus’ Honor in Galilee </t>
  </si>
  <si>
    <t xml:space="preserve">4:46–54 A Healing in Galilee: Jesus’ Second Self-Disclosure </t>
  </si>
  <si>
    <t xml:space="preserve">IV. Jesus’ Bringing Life to Israel Provoked Controversy in Jerusalem and Galilee (5:1–6:71) </t>
  </si>
  <si>
    <t xml:space="preserve">5:1–20 A Feast in Jerusalem: Controversy over Jesus’ Rescue of a Lame Man </t>
  </si>
  <si>
    <t xml:space="preserve">Addendum 5:17–20 </t>
  </si>
  <si>
    <t xml:space="preserve">5:21–30 Jesus as God’s Honored Broker </t>
  </si>
  <si>
    <t xml:space="preserve">5:31–47 Legitimation of Jesus’ Brokerage </t>
  </si>
  <si>
    <t xml:space="preserve">Theme 1 Witnesses to the Son 5:31–40 </t>
  </si>
  <si>
    <t xml:space="preserve">Theme 2 The Father’s Honored Son and Unbelief (5:41–47) </t>
  </si>
  <si>
    <t xml:space="preserve">6:1–15 Second Passover, in Galilee: An Outdoor Meal of Bread and Fish </t>
  </si>
  <si>
    <t xml:space="preserve">6:16–23 Jesus’ Power over the Sea </t>
  </si>
  <si>
    <t xml:space="preserve">6:24–59 Jesus Talks with the Crowd about Bread of Life </t>
  </si>
  <si>
    <t xml:space="preserve">6:24–31a Seeking Jesus: A Challenge to Jesus at Capernaum on the Other Side of the Sea </t>
  </si>
  <si>
    <t xml:space="preserve">6:31b–59 Jesus Explains the Passage Cited from Exodus 16 by His Challengers </t>
  </si>
  <si>
    <t xml:space="preserve">6:60–66 Insider Talk Unmasks Antisociety Disloyalty </t>
  </si>
  <si>
    <t xml:space="preserve">6:67–71 Reaction of the Twelve </t>
  </si>
  <si>
    <t xml:space="preserve">V. Jesus Brought Light and Life to the Jerusalem Temple (7:1–8:59) </t>
  </si>
  <si>
    <t xml:space="preserve">7:1–9 Around the Feast of Sukkoth in Galilee: A Challenge from Jesus’ Brothers </t>
  </si>
  <si>
    <t xml:space="preserve">7:10–14a Around the Feast of Sukkoth in Jerusalem: Divided Public Judgment about Jesus </t>
  </si>
  <si>
    <t xml:space="preserve">7:14b–8:59 At Sukkoth: Jesus Teaches in the Temple </t>
  </si>
  <si>
    <t>Opening Marker I: Jesus went up into the temple and taught 7:14b</t>
  </si>
  <si>
    <t xml:space="preserve">7:14b–18 Sukkoth in Jerusalem: Initial Challenge to Jesus about His Authority to Teach and Interpret Scripture </t>
  </si>
  <si>
    <t xml:space="preserve">7:19–28 Jesus’ Riposte: Moses Gives the Law, but You Do Not Observe It </t>
  </si>
  <si>
    <t>Epilogue</t>
  </si>
  <si>
    <t>Marker II: Jesus proclaimed as he taught in the temple 7:28</t>
  </si>
  <si>
    <t xml:space="preserve">7:29–36 Second Challenge in Jerusalem: Attempts to Arrest Jesus </t>
  </si>
  <si>
    <t>Comment</t>
  </si>
  <si>
    <t xml:space="preserve">Central Marker III: Jesus proclaimed in the temple: If anyone thirst, let him come to me and drink! 7:37–39 </t>
  </si>
  <si>
    <t xml:space="preserve">7:40–52 Opponents’ Controversy over Jesus’ Status and Role </t>
  </si>
  <si>
    <t xml:space="preserve">8:13–19 Opponents’ Controversy over Jesus’ Testimony </t>
  </si>
  <si>
    <t xml:space="preserve">8:21–30 Jesus Uses a Riddle as a Counterchallenge </t>
  </si>
  <si>
    <t xml:space="preserve">8:21–24a First Gambit </t>
  </si>
  <si>
    <t xml:space="preserve">8:24b–30 Second Gambit </t>
  </si>
  <si>
    <t xml:space="preserve">8:31–59 Controversy over Kinship with Abraham </t>
  </si>
  <si>
    <t xml:space="preserve">VI. Judeans Reaction to Jesus’ Bringing Light and Life to Jerusalem (9:1–10:42) </t>
  </si>
  <si>
    <t xml:space="preserve">9:1–41 Jesus’ Rescue of a Man Born Blind Occasions Controversy </t>
  </si>
  <si>
    <t xml:space="preserve">Episode I: Healing </t>
  </si>
  <si>
    <t xml:space="preserve">Episode II: First Interrogation </t>
  </si>
  <si>
    <t xml:space="preserve">Episode III: Interrogation of Parents </t>
  </si>
  <si>
    <t xml:space="preserve">10:1–18 Jesus as the Sheep Gate and Good Shepherd </t>
  </si>
  <si>
    <t>Introduction (Word of Honor) Truly, truly, I say to you</t>
  </si>
  <si>
    <t xml:space="preserve">Introduction 10:11a I am the good shepherd </t>
  </si>
  <si>
    <t>Introduction 10:14b I know my own and my own know me</t>
  </si>
  <si>
    <t xml:space="preserve">10:19–24 Hanukkah in Jerusalem: Another Challenge—Deviance Accusations against Jesus </t>
  </si>
  <si>
    <t xml:space="preserve">10:25–38 Jesus’ Riposte Nearly Erupts in Violence </t>
  </si>
  <si>
    <t xml:space="preserve">10:39–42 An Honor Notice about Jesus </t>
  </si>
  <si>
    <t xml:space="preserve">VII. As His Last Public Act, Jesus Brought Life to a Beloved Friend (Like Us) (11:1–54) </t>
  </si>
  <si>
    <t xml:space="preserve">11:1–6 A Request to Save Lazarus, a Beloved Friend </t>
  </si>
  <si>
    <t xml:space="preserve">11:7–16 Reluctant Compliance: Jesus Comes to Rescue Lazarus from Death </t>
  </si>
  <si>
    <t xml:space="preserve">11:17–44 Jesus Rescues Lazarus, the Beloved Friend, from Death </t>
  </si>
  <si>
    <t xml:space="preserve">11:45–54 Reaction to Jesus’ Raising Lazarus: A Plot to Kill Jesus </t>
  </si>
  <si>
    <t xml:space="preserve">11:55–12:11 A Third Passover Draws Near: Jesus Is Anointed </t>
  </si>
  <si>
    <t xml:space="preserve">VIII. The Close of the Story of Jesus’ Public Offer of Light and Life to Israel (12:12–50) </t>
  </si>
  <si>
    <t xml:space="preserve">12:12–19 Jesus Enters Jerusalem and Is Hailed as King of Israel </t>
  </si>
  <si>
    <t xml:space="preserve">12:20–36 Jesus’ Final Public Revelation </t>
  </si>
  <si>
    <t xml:space="preserve">12:37–43 The Problem of Judean Unbelief Explained </t>
  </si>
  <si>
    <t xml:space="preserve">12:44–50 Conclusion to the Series of Jesus’ Self-Disclosures </t>
  </si>
  <si>
    <t xml:space="preserve">IX. Passover in Jerusalem: What Jesus Said and Did During His Last Meal with His Friends (Like Us) (13:1–17:26) </t>
  </si>
  <si>
    <t xml:space="preserve">A 13:1–38 Jesus Washes Feet of Core Group: Urges Imitation and Mutual Love </t>
  </si>
  <si>
    <t xml:space="preserve">B 14:1–31 Jesus Gives Reassurance to His Core Group in Face of His Departure </t>
  </si>
  <si>
    <t xml:space="preserve">C 15:1–11 Solidarity in Jesus’ Group </t>
  </si>
  <si>
    <t xml:space="preserve">Introduction 15:5b–6 He who abides in me, and I in him or not abide </t>
  </si>
  <si>
    <t xml:space="preserve">D 15:12–17 Jesus’ New Commandment - Love </t>
  </si>
  <si>
    <t xml:space="preserve">C′ 15:18–16:4a Insiders and Outsiders </t>
  </si>
  <si>
    <t xml:space="preserve">A′ 17:1–26 Jesus Prays for Honor for Himself and His Followers </t>
  </si>
  <si>
    <t xml:space="preserve">X. Jesus Was Lifted Up and Gave His Spirit to Us: His Process of Ascent (18:1–19:42) </t>
  </si>
  <si>
    <t xml:space="preserve">A 18:1–11 Jesus’ Arrest </t>
  </si>
  <si>
    <t xml:space="preserve">B 18:12–27 Jesus before the High Priest; Peter’s Disloyalty </t>
  </si>
  <si>
    <t xml:space="preserve">C 18:28–19:16a Jesus before Pilate: The King of the Judeans </t>
  </si>
  <si>
    <t xml:space="preserve">B′ 19:16b–37 Jesus is Lifted Up before “This World”: His Exaltation (Glorification) </t>
  </si>
  <si>
    <t xml:space="preserve">A′ 19:38–42 Conclusion: Jesus’ Burial in a Garden </t>
  </si>
  <si>
    <t xml:space="preserve">XI. God’s Vindication of Jesus: Jesus Ascends to God and Descends to His Friends (20:1–31) </t>
  </si>
  <si>
    <t xml:space="preserve">20:1–31 Jesus Completes His Ascent and Descends Twice </t>
  </si>
  <si>
    <t xml:space="preserve">XII. Addendum: Another Descent and Appearance of the Risen Jesus (21:1–25) </t>
  </si>
  <si>
    <t xml:space="preserve">21:1–14 Third Appearance of the Risen Jesus </t>
  </si>
  <si>
    <t xml:space="preserve">21:15–23 Tying Up Loose Ends in the Story </t>
  </si>
  <si>
    <t xml:space="preserve">Theme 2: About the fate of the beloved disciple 21:19–23 </t>
  </si>
  <si>
    <t xml:space="preserve">XIII. Epilogue: Group Attestation to the Author’s Veracity (21:24–25) </t>
  </si>
  <si>
    <t xml:space="preserve">Later Insertion: Jesus Rescues a Woman Caught in Adultery (7:53–8:1–11) </t>
  </si>
  <si>
    <t xml:space="preserve">Central Marker I Jesus again spoke to them saying, “I am the Light of the World” 8:12 </t>
  </si>
  <si>
    <t xml:space="preserve">Marker  He spoke in the treasury, as he taught in the temple 8:20 </t>
  </si>
  <si>
    <t xml:space="preserve">Closing Marker  Jesus went out of the temple (as they attempted to kill him!) 8:59 </t>
  </si>
  <si>
    <t xml:space="preserve">Episode IV: Second Interrogation </t>
  </si>
  <si>
    <t>Book of Signs 2-12</t>
  </si>
  <si>
    <t>Book of Glory 13-20</t>
  </si>
  <si>
    <t xml:space="preserve">Theme 1: Reconciliation conversation with Peter 21:15–18 </t>
  </si>
  <si>
    <t>Description</t>
  </si>
  <si>
    <t>English words</t>
  </si>
  <si>
    <t>Greek words</t>
  </si>
  <si>
    <t>verse count</t>
  </si>
  <si>
    <t>City section</t>
  </si>
  <si>
    <t>Summary Overview</t>
  </si>
  <si>
    <t>Division Level</t>
  </si>
  <si>
    <t>Common Names</t>
  </si>
  <si>
    <t>Example / Context</t>
  </si>
  <si>
    <t>Macro / Regional</t>
  </si>
  <si>
    <t>Borough, District, Municipality</t>
  </si>
  <si>
    <t>Brooklyn (NYC), Tokyo Special Wards</t>
  </si>
  <si>
    <t>Administrative / Political</t>
  </si>
  <si>
    <t>Ward, Arrondissement, Electoral District</t>
  </si>
  <si>
    <t>Ward 4, 1st Arrondissement (Paris)</t>
  </si>
  <si>
    <t>Community / Local</t>
  </si>
  <si>
    <r>
      <t>Neighborhood, Quarter (</t>
    </r>
    <r>
      <rPr>
        <i/>
        <sz val="11"/>
        <color theme="1"/>
        <rFont val="Arial"/>
        <family val="2"/>
      </rPr>
      <t>Quartier</t>
    </r>
    <r>
      <rPr>
        <sz val="11"/>
        <color theme="1"/>
        <rFont val="Arial"/>
        <family val="2"/>
      </rPr>
      <t>), Sub-district</t>
    </r>
  </si>
  <si>
    <t>Greenwich Village, Latin Quarter</t>
  </si>
  <si>
    <t>Micro / Spatial</t>
  </si>
  <si>
    <t>City Block, Census Tract, Parcel</t>
  </si>
  <si>
    <t>Block 102, Parcel A</t>
  </si>
  <si>
    <t>1. Top Level: Major Regions / Macro-Boroughs</t>
  </si>
  <si>
    <t>At the highest level within a large metropolis, the city is often divided into large geographic zones or broad sectors for regional planning and administration.</t>
  </si>
  <si>
    <t>2. Mid Level: Administrative &amp; Political Subdivisions</t>
  </si>
  <si>
    <t>Below the macro-borough level, cities are broken down into official administrative units for municipal governance, local council representation, and service delivery (police, fire, sanitation).</t>
  </si>
  <si>
    <t>3. Local Level: Neighborhoods &amp; Community Units</t>
  </si>
  <si>
    <t>This level reflects the actual lived communities within a city, often corresponding to specific historical boundaries or local development projects.</t>
  </si>
  <si>
    <t>4. Micro Level: Street &amp; Property Subdivisions</t>
  </si>
  <si>
    <t>At the most granular level, city planning and census bureaus divide land for property mapping, tax assessment, and demographic data collection.</t>
  </si>
  <si>
    <t>Boroughs / Municipalities: The most common term for primary sub-city divisions (e.g., the five Boroughs of New York City or London, or the Municipalities within Tokyo).</t>
  </si>
  <si>
    <t>Quarters / Sectors: Large geographic zones within a city (e.g., North/South sectors or historic Quarters).</t>
  </si>
  <si>
    <t>Arrondissements / Distritos: Many Latin, French, and Spanish-influenced cities use Arrondissements (e.g., Paris, Montreal) or Distritos (e.g., Madrid, Mexico City).</t>
  </si>
  <si>
    <t>Wards: The standard term used in the US, UK, Canada, Australia, and India for electoral and political divisions represented by a city council member or alderman.</t>
  </si>
  <si>
    <t>Precincts / Beats: Specialized administrative divisions used by public services, such as police precincts/beats or voting precincts.</t>
  </si>
  <si>
    <t>Sub-Districts / Sub-Wards: Official smaller municipal units beneath a ward or district.</t>
  </si>
  <si>
    <t>Barrios / Favolas / Townships: Culturally specific names for localized neighborhoods or urban informal settlements.</t>
  </si>
  <si>
    <t>Census Tracts / Census Blocks: Standard geographical units defined by statistical bureaus (like the U.S. Census Bureau) for population tracking.</t>
  </si>
  <si>
    <t>City Blocks / City Squares: The area bounded by four intersecting streets, representing the standard building unit in grid system cities.</t>
  </si>
  <si>
    <t>Parcels / Lots: The individual property units owned by individuals, businesses, or the government.</t>
  </si>
  <si>
    <t>Districts: In many European and Asian cities, the primary top-level administrative division is simply called a District (e.g., _Bezirk_ in Berlin or _Stadtbezirk_ in Munich).</t>
  </si>
  <si>
    <t>Neighborhoods / Quarters (_Quartiers_): The most common universal term for distinct local communities (e.g., Soho, Chinatown, French Quarter).</t>
  </si>
  <si>
    <t>Lookup List</t>
  </si>
  <si>
    <t>District</t>
  </si>
  <si>
    <t>Ward</t>
  </si>
  <si>
    <t>Neighborhood</t>
  </si>
  <si>
    <t>City block</t>
  </si>
  <si>
    <t>Prologue</t>
  </si>
  <si>
    <t>ID_NUM</t>
  </si>
  <si>
    <t>Chapter</t>
  </si>
  <si>
    <t>Total Verses</t>
  </si>
  <si>
    <t>Output Format</t>
  </si>
  <si>
    <t>John 1</t>
  </si>
  <si>
    <t>1:17; 1:34; 1:51</t>
  </si>
  <si>
    <t>John 2</t>
  </si>
  <si>
    <t>2:8; 2:17; 2:25</t>
  </si>
  <si>
    <t>John 3</t>
  </si>
  <si>
    <t>3:12; 3:24; 3:36</t>
  </si>
  <si>
    <t>John 4</t>
  </si>
  <si>
    <t>4:18; 4:36; 4:54</t>
  </si>
  <si>
    <t>John 5</t>
  </si>
  <si>
    <t>5:16; 5:31; 5:47</t>
  </si>
  <si>
    <t>John 6</t>
  </si>
  <si>
    <t>6:24; 6:47; 6:71</t>
  </si>
  <si>
    <t>John 7</t>
  </si>
  <si>
    <t>7:18; 7:35; 7:53</t>
  </si>
  <si>
    <t>John 8</t>
  </si>
  <si>
    <t>8:20; 8:39; 8:59</t>
  </si>
  <si>
    <t>John 9</t>
  </si>
  <si>
    <t>9:14; 9:27; 9:41</t>
  </si>
  <si>
    <t>John 10</t>
  </si>
  <si>
    <t>10:14; 10:28; 10:42</t>
  </si>
  <si>
    <t>John 11</t>
  </si>
  <si>
    <t>11:19; 11:38; 11:57</t>
  </si>
  <si>
    <t>John 12</t>
  </si>
  <si>
    <t>12:17; 12:33; 12:50</t>
  </si>
  <si>
    <t>John 13</t>
  </si>
  <si>
    <t>13:13; 13:25; 13:38</t>
  </si>
  <si>
    <t>John 14</t>
  </si>
  <si>
    <t>14:10; 14:21; 14:31</t>
  </si>
  <si>
    <t>John 15</t>
  </si>
  <si>
    <t>15:9; 15:18; 15:27</t>
  </si>
  <si>
    <t>John 16</t>
  </si>
  <si>
    <t>16:11; 16:22; 16:33</t>
  </si>
  <si>
    <t>John 17</t>
  </si>
  <si>
    <t>17:9; 17:17; 17:26</t>
  </si>
  <si>
    <t>John 18</t>
  </si>
  <si>
    <t>18:13; 18:27; 18:40</t>
  </si>
  <si>
    <t>John 19</t>
  </si>
  <si>
    <t>19:14; 19:28; 19:42</t>
  </si>
  <si>
    <t>John 20</t>
  </si>
  <si>
    <t>20:10; 20:21; 20:31</t>
  </si>
  <si>
    <t>John 21</t>
  </si>
  <si>
    <t>6:71</t>
  </si>
  <si>
    <t>21:25</t>
  </si>
  <si>
    <t>End</t>
  </si>
  <si>
    <t>center</t>
  </si>
  <si>
    <t>City Level</t>
  </si>
  <si>
    <t>1st Third</t>
  </si>
  <si>
    <t>Second Third</t>
  </si>
  <si>
    <r>
      <t xml:space="preserve">Here is the updated data table specifically configured for your Excel Bubble Chart, where </t>
    </r>
    <r>
      <rPr>
        <b/>
        <sz val="11"/>
        <color rgb="FF1F1F1F"/>
        <rFont val="Arial"/>
        <family val="2"/>
      </rPr>
      <t>Bubble Size</t>
    </r>
    <r>
      <rPr>
        <sz val="11"/>
        <color rgb="FF1F1F1F"/>
        <rFont val="Arial"/>
        <family val="2"/>
      </rPr>
      <t xml:space="preserve"> is mapped directly to the </t>
    </r>
    <r>
      <rPr>
        <b/>
        <sz val="11"/>
        <color rgb="FF1F1F1F"/>
        <rFont val="Arial"/>
        <family val="2"/>
      </rPr>
      <t>Greek Word Count ($g$)</t>
    </r>
    <r>
      <rPr>
        <sz val="11"/>
        <color rgb="FF1F1F1F"/>
        <rFont val="Arial"/>
        <family val="2"/>
      </rPr>
      <t xml:space="preserve"> for every level of the document outline:</t>
    </r>
  </si>
  <si>
    <t>Excel Bubble Chart Data Table (Bubble Size = Greek Words)</t>
  </si>
  <si>
    <t>Section / Level Title</t>
  </si>
  <si>
    <t>Y-Value</t>
  </si>
  <si>
    <t>Reference</t>
  </si>
  <si>
    <t>Cumulative Verse Range</t>
  </si>
  <si>
    <t>Midpoint (X-Axis)</t>
  </si>
  <si>
    <t>Bubble Size (g)</t>
  </si>
  <si>
    <t>I. Prologue</t>
  </si>
  <si>
    <t>1:1–18</t>
  </si>
  <si>
    <t>1 – 18</t>
  </si>
  <si>
    <t>1:1–18 Cosmic Status &amp; Mission</t>
  </si>
  <si>
    <t>1:1–5 Creative Word</t>
  </si>
  <si>
    <t>1:1–5</t>
  </si>
  <si>
    <t>1 – 5</t>
  </si>
  <si>
    <t>1:6–8 John the Witness</t>
  </si>
  <si>
    <t>1:6–8</t>
  </si>
  <si>
    <t>6 – 8</t>
  </si>
  <si>
    <t>1:9–11 Light in Israel</t>
  </si>
  <si>
    <t>1:9–11</t>
  </si>
  <si>
    <t>9 – 11</t>
  </si>
  <si>
    <t>1:12–13 Children of God</t>
  </si>
  <si>
    <t>1:12–13</t>
  </si>
  <si>
    <t>12 – 13</t>
  </si>
  <si>
    <t>1:14 Word in Israel</t>
  </si>
  <si>
    <t>14 – 14</t>
  </si>
  <si>
    <t>1:15 John the Witness</t>
  </si>
  <si>
    <t>15 – 15</t>
  </si>
  <si>
    <t>1:16–18 Life-Mediating Son</t>
  </si>
  <si>
    <t>1:16–18</t>
  </si>
  <si>
    <t>16 – 18</t>
  </si>
  <si>
    <t>II. Presenting Jesus of Nazareth</t>
  </si>
  <si>
    <t>1:19–51</t>
  </si>
  <si>
    <t>19 – 51</t>
  </si>
  <si>
    <t>1:19–28 Witness of John</t>
  </si>
  <si>
    <t>1:19–28</t>
  </si>
  <si>
    <t>19 – 28</t>
  </si>
  <si>
    <t>1:29–34 Witness about Jesus</t>
  </si>
  <si>
    <t>1:29–34</t>
  </si>
  <si>
    <t>29 – 34</t>
  </si>
  <si>
    <t>1:35–51 Origins of Antisociety</t>
  </si>
  <si>
    <t>1:35–51</t>
  </si>
  <si>
    <t>35 – 51</t>
  </si>
  <si>
    <t>1:35–42 First Invitation</t>
  </si>
  <si>
    <t>1:35–42</t>
  </si>
  <si>
    <t>35 – 42</t>
  </si>
  <si>
    <t>1:43–51 Second Invitation</t>
  </si>
  <si>
    <t>1:43–51</t>
  </si>
  <si>
    <t>43 – 51</t>
  </si>
  <si>
    <t>Book of Signs (III–VIII)</t>
  </si>
  <si>
    <t>2:1–12:50</t>
  </si>
  <si>
    <t>52 – 586</t>
  </si>
  <si>
    <t>III. Jesus Began Bringing Life</t>
  </si>
  <si>
    <t>2:1–4:54</t>
  </si>
  <si>
    <t>52 – 166</t>
  </si>
  <si>
    <t>2:1–12 Wedding in Galilee</t>
  </si>
  <si>
    <t>2:1–12</t>
  </si>
  <si>
    <t>52 – 63</t>
  </si>
  <si>
    <t>2:13–25 First Passover</t>
  </si>
  <si>
    <t>2:13–25</t>
  </si>
  <si>
    <t>64 – 76</t>
  </si>
  <si>
    <t>3:1–21 Nicodemus Conversation</t>
  </si>
  <si>
    <t>3:1–21</t>
  </si>
  <si>
    <t>77 – 97</t>
  </si>
  <si>
    <t>3:22–36 John's Affirmation</t>
  </si>
  <si>
    <t>3:22–36</t>
  </si>
  <si>
    <t>98 – 112</t>
  </si>
  <si>
    <t>4:1–42 Samaritan Woman</t>
  </si>
  <si>
    <t>4:1–42</t>
  </si>
  <si>
    <t>113 – 154</t>
  </si>
  <si>
    <t>4:43–45 Honor in Galilee</t>
  </si>
  <si>
    <t>4:43–45</t>
  </si>
  <si>
    <t>155 – 157</t>
  </si>
  <si>
    <t>4:46–54 Healing in Galilee</t>
  </si>
  <si>
    <t>4:46–54</t>
  </si>
  <si>
    <t>158 – 166</t>
  </si>
  <si>
    <t>IV. Life Provoked Controversy</t>
  </si>
  <si>
    <t>5:1–6:71</t>
  </si>
  <si>
    <t>167 – 284</t>
  </si>
  <si>
    <t>5:1–20 Lame Man Rescue</t>
  </si>
  <si>
    <t>5:1–20</t>
  </si>
  <si>
    <t>167 – 186</t>
  </si>
  <si>
    <t>5:21–30 Honored Broker</t>
  </si>
  <si>
    <t>5:21–30</t>
  </si>
  <si>
    <t>187 – 196</t>
  </si>
  <si>
    <t>5:31–47 Legitimation</t>
  </si>
  <si>
    <t>5:31–47</t>
  </si>
  <si>
    <t>197 – 213</t>
  </si>
  <si>
    <t>6:1–15 Outdoor Meal</t>
  </si>
  <si>
    <t>6:1–15</t>
  </si>
  <si>
    <t>214 – 228</t>
  </si>
  <si>
    <t>6:16–23 Power over Sea</t>
  </si>
  <si>
    <t>6:16–23</t>
  </si>
  <si>
    <t>229 – 236</t>
  </si>
  <si>
    <t>6:24–59 Bread of Life</t>
  </si>
  <si>
    <t>6:24–59</t>
  </si>
  <si>
    <t>237 – 272</t>
  </si>
  <si>
    <t>6:60–66 Disloyalty Unmasked</t>
  </si>
  <si>
    <t>6:60–66</t>
  </si>
  <si>
    <t>273 – 279</t>
  </si>
  <si>
    <t>6:67–71 Reaction of Twelve</t>
  </si>
  <si>
    <t>6:67–71</t>
  </si>
  <si>
    <t>280 – 284</t>
  </si>
  <si>
    <t>V. Light &amp; Life in Temple</t>
  </si>
  <si>
    <t>7:1–8:59</t>
  </si>
  <si>
    <t>285 – 396</t>
  </si>
  <si>
    <t>VI. Judeans Reaction</t>
  </si>
  <si>
    <t>9:1–10:42</t>
  </si>
  <si>
    <t>397 – 479</t>
  </si>
  <si>
    <t>VII. Life to Beloved Friend</t>
  </si>
  <si>
    <t>11:1–54</t>
  </si>
  <si>
    <t>480 – 533</t>
  </si>
  <si>
    <t>VIII. Close of Public Offer</t>
  </si>
  <si>
    <t>12:12–50</t>
  </si>
  <si>
    <t>548 – 586</t>
  </si>
  <si>
    <t>Book of Glory (IX–XII)</t>
  </si>
  <si>
    <t>13:1–21:25</t>
  </si>
  <si>
    <t>587 – 879</t>
  </si>
  <si>
    <t>IX. Last Meal with Friends</t>
  </si>
  <si>
    <t>13:1–17:26</t>
  </si>
  <si>
    <t>587 – 741</t>
  </si>
  <si>
    <t>13:1–38 Washing Feet</t>
  </si>
  <si>
    <t>13:1–38</t>
  </si>
  <si>
    <t>587 – 624</t>
  </si>
  <si>
    <t>14:1–31 Reassurance</t>
  </si>
  <si>
    <t>14:1–31</t>
  </si>
  <si>
    <t>625 – 655</t>
  </si>
  <si>
    <t>15:1–11 Group Solidarity</t>
  </si>
  <si>
    <t>15:1–11</t>
  </si>
  <si>
    <t>656 – 666</t>
  </si>
  <si>
    <t>15:12–17 New Commandment</t>
  </si>
  <si>
    <t>15:12–17</t>
  </si>
  <si>
    <t>667 – 672</t>
  </si>
  <si>
    <t>15:18–16:4a Insiders/Outsiders</t>
  </si>
  <si>
    <t>15:18–16:4</t>
  </si>
  <si>
    <t>673 – 686</t>
  </si>
  <si>
    <t>16:4b–33 Departure Prep</t>
  </si>
  <si>
    <t>16:4–33</t>
  </si>
  <si>
    <t>686 – 715</t>
  </si>
  <si>
    <t>17:1–26 High Priestly Prayer</t>
  </si>
  <si>
    <t>17:1–26</t>
  </si>
  <si>
    <t>716 – 741</t>
  </si>
  <si>
    <t>X. Lifted Up / Process of Ascent</t>
  </si>
  <si>
    <t>18:1–19:42</t>
  </si>
  <si>
    <t>742 – 823</t>
  </si>
  <si>
    <t>18:1–11 Arrest in Garden</t>
  </si>
  <si>
    <t>18:1–11</t>
  </si>
  <si>
    <t>742 – 752</t>
  </si>
  <si>
    <t>18:12–27 High Priest &amp; Peter</t>
  </si>
  <si>
    <t>18:12–27</t>
  </si>
  <si>
    <t>753 – 768</t>
  </si>
  <si>
    <t>18:28–19:16a Before Pilate</t>
  </si>
  <si>
    <t>18:28–19:16</t>
  </si>
  <si>
    <t>769 – 797</t>
  </si>
  <si>
    <t>19:16b–37 Exaltation / Cross</t>
  </si>
  <si>
    <t>19:16–37</t>
  </si>
  <si>
    <t>797 – 818</t>
  </si>
  <si>
    <t>19:38–42 Burial in Garden</t>
  </si>
  <si>
    <t>19:38–42</t>
  </si>
  <si>
    <t>819 – 823</t>
  </si>
  <si>
    <t>XI. God's Vindication</t>
  </si>
  <si>
    <t>20:1–31</t>
  </si>
  <si>
    <t>824 – 854</t>
  </si>
  <si>
    <t>XII. Addendum: Risen Descent</t>
  </si>
  <si>
    <t>21:1–25</t>
  </si>
  <si>
    <t>855 – 879</t>
  </si>
  <si>
    <t>XIII. Epilogue</t>
  </si>
  <si>
    <t>21:24–25</t>
  </si>
  <si>
    <t>878 – 879</t>
  </si>
  <si>
    <t>Excel Selection Steps</t>
  </si>
  <si>
    <r>
      <t xml:space="preserve">1. Highlight </t>
    </r>
    <r>
      <rPr>
        <b/>
        <sz val="11"/>
        <color rgb="FF1F1F1F"/>
        <rFont val="Arial"/>
        <family val="2"/>
      </rPr>
      <t>Midpoint ($X$-Axis)</t>
    </r>
    <r>
      <rPr>
        <sz val="11"/>
        <color rgb="FF1F1F1F"/>
        <rFont val="Arial"/>
        <family val="2"/>
      </rPr>
      <t xml:space="preserve"> for the Series $X$ values.</t>
    </r>
  </si>
  <si>
    <r>
      <t xml:space="preserve">2. Highlight </t>
    </r>
    <r>
      <rPr>
        <b/>
        <sz val="11"/>
        <color rgb="FF1F1F1F"/>
        <rFont val="Arial"/>
        <family val="2"/>
      </rPr>
      <t>$Y$-Value</t>
    </r>
    <r>
      <rPr>
        <sz val="11"/>
        <color rgb="FF1F1F1F"/>
        <rFont val="Arial"/>
        <family val="2"/>
      </rPr>
      <t xml:space="preserve"> for the Series $Y$ values.</t>
    </r>
  </si>
  <si>
    <r>
      <t xml:space="preserve">3. Highlight </t>
    </r>
    <r>
      <rPr>
        <b/>
        <sz val="11"/>
        <color rgb="FF1F1F1F"/>
        <rFont val="Arial"/>
        <family val="2"/>
      </rPr>
      <t>Bubble Size ($g$)</t>
    </r>
    <r>
      <rPr>
        <sz val="11"/>
        <color rgb="FF1F1F1F"/>
        <rFont val="Arial"/>
        <family val="2"/>
      </rPr>
      <t xml:space="preserve"> for the Series Bubble Sizes.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</si>
</sst>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0"/>
      <color theme="1"/>
      <name val="Google Sans Text"/>
      <family val="2"/>
    </font>
    <font>
      <sz val="14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3.5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0" fillId="0" borderId="0" xfId="0" applyAlignment="1"/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2" borderId="0" xfId="0" applyFill="1" applyAlignment="1">
      <alignment wrapText="1"/>
    </xf>
    <xf numFmtId="20" fontId="3" fillId="0" borderId="1" xfId="0" applyNumberFormat="1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/>
    </xf>
    <xf numFmtId="0" fontId="3" fillId="0" borderId="1" xfId="0" quotePrefix="1" applyFont="1" applyBorder="1" applyAlignment="1">
      <alignment horizontal="left" vertical="center" wrapText="1" indent="1"/>
    </xf>
    <xf numFmtId="0" fontId="7" fillId="0" borderId="0" xfId="0" quotePrefix="1" applyNumberFormat="1" applyFont="1" applyAlignment="1">
      <alignment horizontal="center" vertical="center"/>
    </xf>
    <xf numFmtId="1" fontId="3" fillId="0" borderId="1" xfId="0" applyNumberFormat="1" applyFont="1" applyBorder="1" applyAlignment="1">
      <alignment horizontal="left" vertical="center" wrapText="1" indent="1"/>
    </xf>
    <xf numFmtId="0" fontId="0" fillId="0" borderId="0" xfId="0" applyFill="1" applyAlignment="1">
      <alignment wrapText="1"/>
    </xf>
    <xf numFmtId="0" fontId="8" fillId="0" borderId="0" xfId="0" applyFont="1" applyAlignment="1">
      <alignment vertical="center" readingOrder="1"/>
    </xf>
    <xf numFmtId="0" fontId="10" fillId="0" borderId="0" xfId="0" applyFont="1" applyAlignment="1">
      <alignment vertical="center" readingOrder="1"/>
    </xf>
    <xf numFmtId="0" fontId="9" fillId="0" borderId="1" xfId="0" applyFont="1" applyBorder="1" applyAlignment="1">
      <alignment horizontal="left" vertical="center" wrapText="1" indent="1" readingOrder="1"/>
    </xf>
    <xf numFmtId="0" fontId="8" fillId="0" borderId="1" xfId="0" applyFont="1" applyBorder="1" applyAlignment="1">
      <alignment horizontal="left" vertical="center" wrapText="1" indent="1" readingOrder="1"/>
    </xf>
    <xf numFmtId="20" fontId="8" fillId="0" borderId="1" xfId="0" applyNumberFormat="1" applyFont="1" applyBorder="1" applyAlignment="1">
      <alignment horizontal="left" vertical="center" wrapText="1" indent="1" readingOrder="1"/>
    </xf>
    <xf numFmtId="3" fontId="9" fillId="0" borderId="1" xfId="0" applyNumberFormat="1" applyFont="1" applyBorder="1" applyAlignment="1">
      <alignment horizontal="left" vertical="center" wrapText="1" indent="1" readingOrder="1"/>
    </xf>
    <xf numFmtId="0" fontId="8" fillId="0" borderId="0" xfId="0" applyFont="1" applyAlignment="1">
      <alignment horizontal="lef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DA965-0363-48E7-8590-57A5C809A2CF}">
  <dimension ref="A1:O104"/>
  <sheetViews>
    <sheetView workbookViewId="0">
      <selection activeCell="F1" sqref="B1:F1048576"/>
    </sheetView>
  </sheetViews>
  <sheetFormatPr defaultRowHeight="15"/>
  <cols>
    <col min="2" max="2" width="21.7109375" customWidth="1"/>
    <col min="3" max="3" width="139.5703125" bestFit="1" customWidth="1"/>
    <col min="4" max="4" width="11.28515625" hidden="1" customWidth="1"/>
    <col min="5" max="5" width="8.42578125" hidden="1" customWidth="1"/>
    <col min="6" max="6" width="6.85546875" customWidth="1"/>
    <col min="7" max="7" width="6.5703125" customWidth="1"/>
    <col min="8" max="8" width="14" bestFit="1" customWidth="1"/>
  </cols>
  <sheetData>
    <row r="1" spans="1:8" s="4" customFormat="1" ht="30">
      <c r="A1" s="4" t="s">
        <v>149</v>
      </c>
      <c r="B1" s="4" t="s">
        <v>102</v>
      </c>
      <c r="D1" s="4" t="s">
        <v>105</v>
      </c>
      <c r="E1" s="4" t="s">
        <v>103</v>
      </c>
      <c r="F1" s="4" t="s">
        <v>104</v>
      </c>
      <c r="G1" s="4" t="s">
        <v>198</v>
      </c>
      <c r="H1" s="4" t="s">
        <v>106</v>
      </c>
    </row>
    <row r="2" spans="1:8" s="4" customFormat="1">
      <c r="A2" s="11">
        <v>1</v>
      </c>
      <c r="B2" s="11" t="s">
        <v>148</v>
      </c>
      <c r="C2" s="11"/>
      <c r="D2" s="11">
        <v>51</v>
      </c>
      <c r="E2" s="11">
        <v>893</v>
      </c>
      <c r="F2" s="11">
        <v>732</v>
      </c>
      <c r="G2" s="11">
        <f>IF(H2="District",1,IF(H2="Ward",2,IF(H2="Neighborhood",3,"")))</f>
        <v>1</v>
      </c>
      <c r="H2" s="11" t="s">
        <v>144</v>
      </c>
    </row>
    <row r="3" spans="1:8" ht="15.75">
      <c r="A3">
        <v>2</v>
      </c>
      <c r="B3" s="1" t="s">
        <v>0</v>
      </c>
      <c r="C3" s="1"/>
      <c r="D3" s="1">
        <v>18</v>
      </c>
      <c r="E3" s="1">
        <v>306</v>
      </c>
      <c r="F3" s="1">
        <v>252</v>
      </c>
      <c r="G3" s="17">
        <f t="shared" ref="G3:G66" si="0">IF(H3="District",1,IF(H3="Ward",2,IF(H3="Neighborhood",3,"")))</f>
        <v>2</v>
      </c>
      <c r="H3" t="s">
        <v>145</v>
      </c>
    </row>
    <row r="4" spans="1:8" ht="15.75">
      <c r="A4">
        <v>3</v>
      </c>
      <c r="C4" s="1" t="s">
        <v>1</v>
      </c>
      <c r="D4" s="1">
        <v>18</v>
      </c>
      <c r="E4" s="1">
        <v>306</v>
      </c>
      <c r="F4" s="1">
        <v>252</v>
      </c>
      <c r="G4" s="17">
        <f t="shared" si="0"/>
        <v>3</v>
      </c>
      <c r="H4" t="s">
        <v>146</v>
      </c>
    </row>
    <row r="5" spans="1:8" ht="15.75">
      <c r="A5">
        <v>4</v>
      </c>
      <c r="B5" s="1" t="s">
        <v>2</v>
      </c>
      <c r="C5" s="1"/>
      <c r="D5" s="1">
        <v>33</v>
      </c>
      <c r="E5" s="1">
        <v>587</v>
      </c>
      <c r="F5" s="1">
        <v>480</v>
      </c>
      <c r="G5" s="17">
        <f t="shared" si="0"/>
        <v>2</v>
      </c>
      <c r="H5" t="s">
        <v>145</v>
      </c>
    </row>
    <row r="6" spans="1:8" ht="15.75">
      <c r="A6">
        <v>5</v>
      </c>
      <c r="C6" s="1" t="s">
        <v>3</v>
      </c>
      <c r="D6" s="1">
        <v>10</v>
      </c>
      <c r="E6" s="1">
        <v>151</v>
      </c>
      <c r="F6" s="1">
        <v>127</v>
      </c>
      <c r="G6" s="17">
        <f t="shared" si="0"/>
        <v>3</v>
      </c>
      <c r="H6" t="s">
        <v>146</v>
      </c>
    </row>
    <row r="7" spans="1:8" ht="15.75">
      <c r="A7">
        <v>6</v>
      </c>
      <c r="C7" s="1" t="s">
        <v>4</v>
      </c>
      <c r="D7" s="1">
        <v>6</v>
      </c>
      <c r="E7" s="1">
        <v>121</v>
      </c>
      <c r="F7" s="1">
        <v>95</v>
      </c>
      <c r="G7" s="17">
        <f t="shared" si="0"/>
        <v>3</v>
      </c>
      <c r="H7" t="s">
        <v>146</v>
      </c>
    </row>
    <row r="8" spans="1:8" ht="15.75">
      <c r="A8">
        <v>7</v>
      </c>
      <c r="C8" s="1" t="s">
        <v>5</v>
      </c>
      <c r="D8" s="1">
        <v>17</v>
      </c>
      <c r="E8" s="1">
        <v>315</v>
      </c>
      <c r="F8" s="1">
        <v>258</v>
      </c>
      <c r="G8" s="17">
        <f t="shared" si="0"/>
        <v>3</v>
      </c>
      <c r="H8" t="s">
        <v>146</v>
      </c>
    </row>
    <row r="9" spans="1:8" ht="15.75">
      <c r="A9">
        <v>8</v>
      </c>
      <c r="C9" s="1" t="s">
        <v>6</v>
      </c>
      <c r="D9" s="1">
        <v>8</v>
      </c>
      <c r="E9" s="1">
        <v>151</v>
      </c>
      <c r="F9" s="1">
        <v>120</v>
      </c>
      <c r="G9" s="17">
        <f t="shared" si="0"/>
        <v>3</v>
      </c>
      <c r="H9" t="s">
        <v>146</v>
      </c>
    </row>
    <row r="10" spans="1:8" ht="15.75">
      <c r="A10">
        <v>9</v>
      </c>
      <c r="C10" s="1" t="s">
        <v>7</v>
      </c>
      <c r="D10" s="1">
        <v>9</v>
      </c>
      <c r="E10" s="1">
        <v>164</v>
      </c>
      <c r="F10" s="1">
        <v>138</v>
      </c>
      <c r="G10" s="17">
        <f t="shared" si="0"/>
        <v>3</v>
      </c>
      <c r="H10" t="s">
        <v>146</v>
      </c>
    </row>
    <row r="11" spans="1:8" ht="15.75">
      <c r="A11" s="11">
        <v>10</v>
      </c>
      <c r="B11" s="2" t="s">
        <v>99</v>
      </c>
      <c r="C11" s="3"/>
      <c r="D11" s="3">
        <v>496</v>
      </c>
      <c r="E11" s="3">
        <v>9763</v>
      </c>
      <c r="F11" s="3">
        <v>7707</v>
      </c>
      <c r="G11" s="11">
        <f t="shared" si="0"/>
        <v>1</v>
      </c>
      <c r="H11" s="2" t="s">
        <v>144</v>
      </c>
    </row>
    <row r="12" spans="1:8" ht="15.75">
      <c r="A12">
        <v>11</v>
      </c>
      <c r="B12" s="1" t="s">
        <v>8</v>
      </c>
      <c r="C12" s="1"/>
      <c r="D12" s="1">
        <v>131</v>
      </c>
      <c r="E12" s="1">
        <v>2518</v>
      </c>
      <c r="F12" s="1">
        <v>2088</v>
      </c>
      <c r="G12" s="17">
        <f t="shared" si="0"/>
        <v>2</v>
      </c>
      <c r="H12" t="s">
        <v>145</v>
      </c>
    </row>
    <row r="13" spans="1:8" ht="15.75">
      <c r="A13">
        <v>12</v>
      </c>
      <c r="C13" s="1" t="s">
        <v>9</v>
      </c>
      <c r="D13" s="1">
        <v>12</v>
      </c>
      <c r="E13" s="1">
        <v>214</v>
      </c>
      <c r="F13" s="1">
        <v>188</v>
      </c>
      <c r="G13" s="17">
        <f t="shared" si="0"/>
        <v>3</v>
      </c>
      <c r="H13" t="s">
        <v>146</v>
      </c>
    </row>
    <row r="14" spans="1:8" ht="15.75">
      <c r="A14">
        <v>13</v>
      </c>
      <c r="C14" s="1" t="s">
        <v>10</v>
      </c>
      <c r="D14" s="1">
        <v>13</v>
      </c>
      <c r="E14" s="1">
        <v>238</v>
      </c>
      <c r="F14" s="1">
        <v>198</v>
      </c>
      <c r="G14" s="17">
        <f t="shared" si="0"/>
        <v>3</v>
      </c>
      <c r="H14" t="s">
        <v>146</v>
      </c>
    </row>
    <row r="15" spans="1:8" ht="15.75">
      <c r="A15">
        <v>14</v>
      </c>
      <c r="C15" s="1" t="s">
        <v>11</v>
      </c>
      <c r="D15" s="1">
        <v>21</v>
      </c>
      <c r="E15" s="1">
        <v>427</v>
      </c>
      <c r="F15" s="1">
        <v>347</v>
      </c>
      <c r="G15" s="17">
        <f t="shared" si="0"/>
        <v>3</v>
      </c>
      <c r="H15" t="s">
        <v>146</v>
      </c>
    </row>
    <row r="16" spans="1:8" ht="15.75">
      <c r="A16">
        <v>15</v>
      </c>
      <c r="C16" s="1" t="s">
        <v>12</v>
      </c>
      <c r="D16" s="1">
        <v>9</v>
      </c>
      <c r="E16" s="1">
        <v>174</v>
      </c>
      <c r="F16" s="1">
        <v>140</v>
      </c>
      <c r="G16" s="17">
        <f t="shared" si="0"/>
        <v>3</v>
      </c>
      <c r="H16" t="s">
        <v>146</v>
      </c>
    </row>
    <row r="17" spans="1:15" ht="15.75">
      <c r="A17">
        <v>16</v>
      </c>
      <c r="C17" s="1" t="s">
        <v>13</v>
      </c>
      <c r="D17" s="1">
        <v>15</v>
      </c>
      <c r="E17" s="1">
        <v>286</v>
      </c>
      <c r="F17" s="1">
        <v>233</v>
      </c>
      <c r="G17" s="17">
        <f t="shared" si="0"/>
        <v>3</v>
      </c>
      <c r="H17" t="s">
        <v>146</v>
      </c>
      <c r="M17">
        <f>51/3</f>
        <v>17</v>
      </c>
      <c r="N17">
        <f>M17+17</f>
        <v>34</v>
      </c>
      <c r="O17">
        <f>N17+M17</f>
        <v>51</v>
      </c>
    </row>
    <row r="18" spans="1:15" ht="15.75">
      <c r="A18">
        <v>17</v>
      </c>
      <c r="C18" s="1" t="s">
        <v>14</v>
      </c>
      <c r="D18" s="1">
        <v>5</v>
      </c>
      <c r="E18" s="1">
        <v>98</v>
      </c>
      <c r="F18" s="1">
        <v>82</v>
      </c>
      <c r="G18" s="17">
        <f t="shared" si="0"/>
        <v>3</v>
      </c>
      <c r="H18" t="s">
        <v>146</v>
      </c>
    </row>
    <row r="19" spans="1:15" ht="15.75">
      <c r="A19">
        <v>18</v>
      </c>
      <c r="C19" s="1" t="s">
        <v>15</v>
      </c>
      <c r="D19" s="1">
        <v>42</v>
      </c>
      <c r="E19" s="1">
        <v>774</v>
      </c>
      <c r="F19" s="1">
        <v>634</v>
      </c>
      <c r="G19" s="17">
        <f t="shared" si="0"/>
        <v>3</v>
      </c>
      <c r="H19" t="s">
        <v>146</v>
      </c>
    </row>
    <row r="20" spans="1:15" ht="15.75">
      <c r="A20" s="4">
        <v>19</v>
      </c>
      <c r="C20" s="1" t="s">
        <v>16</v>
      </c>
      <c r="D20" s="1">
        <v>3</v>
      </c>
      <c r="E20" s="1">
        <v>50</v>
      </c>
      <c r="F20" s="1">
        <v>37</v>
      </c>
      <c r="G20" s="17">
        <f t="shared" si="0"/>
        <v>3</v>
      </c>
      <c r="H20" t="s">
        <v>146</v>
      </c>
    </row>
    <row r="21" spans="1:15" ht="15.75">
      <c r="A21">
        <v>20</v>
      </c>
      <c r="C21" s="1" t="s">
        <v>17</v>
      </c>
      <c r="D21" s="1">
        <v>9</v>
      </c>
      <c r="E21" s="1">
        <v>188</v>
      </c>
      <c r="F21" s="1">
        <v>152</v>
      </c>
      <c r="G21" s="17">
        <f t="shared" si="0"/>
        <v>3</v>
      </c>
      <c r="H21" t="s">
        <v>146</v>
      </c>
    </row>
    <row r="22" spans="1:15" ht="15.75">
      <c r="A22">
        <v>21</v>
      </c>
      <c r="B22" s="1" t="s">
        <v>18</v>
      </c>
      <c r="C22" s="1"/>
      <c r="D22" s="1">
        <v>118</v>
      </c>
      <c r="E22" s="1">
        <v>2426</v>
      </c>
      <c r="F22" s="1">
        <v>1889</v>
      </c>
      <c r="G22" s="17">
        <f t="shared" si="0"/>
        <v>2</v>
      </c>
      <c r="H22" t="s">
        <v>145</v>
      </c>
    </row>
    <row r="23" spans="1:15" ht="15.75">
      <c r="A23">
        <v>22</v>
      </c>
      <c r="C23" s="1" t="s">
        <v>19</v>
      </c>
      <c r="D23" s="1">
        <v>20</v>
      </c>
      <c r="E23" s="1">
        <v>388</v>
      </c>
      <c r="F23" s="1">
        <v>303</v>
      </c>
      <c r="G23" s="17">
        <f t="shared" si="0"/>
        <v>3</v>
      </c>
      <c r="H23" t="s">
        <v>146</v>
      </c>
    </row>
    <row r="24" spans="1:15" ht="15.75">
      <c r="A24">
        <v>23</v>
      </c>
      <c r="C24" s="1" t="s">
        <v>20</v>
      </c>
      <c r="D24" s="1">
        <v>4</v>
      </c>
      <c r="E24" s="1">
        <v>80</v>
      </c>
      <c r="F24" s="1">
        <v>66</v>
      </c>
      <c r="G24" s="17">
        <f t="shared" si="0"/>
        <v>3</v>
      </c>
      <c r="H24" t="s">
        <v>146</v>
      </c>
    </row>
    <row r="25" spans="1:15" ht="15.75">
      <c r="A25">
        <v>24</v>
      </c>
      <c r="C25" s="1" t="s">
        <v>21</v>
      </c>
      <c r="D25" s="1">
        <v>10</v>
      </c>
      <c r="E25" s="1">
        <v>216</v>
      </c>
      <c r="F25" s="1">
        <v>169</v>
      </c>
      <c r="G25" s="17">
        <f t="shared" si="0"/>
        <v>3</v>
      </c>
      <c r="H25" t="s">
        <v>146</v>
      </c>
    </row>
    <row r="26" spans="1:15" ht="15.75">
      <c r="A26">
        <v>25</v>
      </c>
      <c r="C26" s="1" t="s">
        <v>22</v>
      </c>
      <c r="D26" s="1">
        <v>17</v>
      </c>
      <c r="E26" s="1">
        <v>315</v>
      </c>
      <c r="F26" s="1">
        <v>248</v>
      </c>
      <c r="G26" s="17">
        <f t="shared" si="0"/>
        <v>3</v>
      </c>
      <c r="H26" t="s">
        <v>146</v>
      </c>
    </row>
    <row r="27" spans="1:15" ht="15.75">
      <c r="A27">
        <v>26</v>
      </c>
      <c r="C27" s="1" t="s">
        <v>23</v>
      </c>
      <c r="D27" s="1">
        <v>10</v>
      </c>
      <c r="E27" s="1">
        <v>176</v>
      </c>
      <c r="F27" s="1">
        <v>138</v>
      </c>
      <c r="G27" s="17">
        <f t="shared" si="0"/>
        <v>3</v>
      </c>
      <c r="H27" t="s">
        <v>146</v>
      </c>
    </row>
    <row r="28" spans="1:15" ht="15.75">
      <c r="A28">
        <v>27</v>
      </c>
      <c r="C28" s="1" t="s">
        <v>24</v>
      </c>
      <c r="D28" s="1">
        <v>7</v>
      </c>
      <c r="E28" s="1">
        <v>139</v>
      </c>
      <c r="F28" s="1">
        <v>110</v>
      </c>
      <c r="G28" s="17">
        <f t="shared" si="0"/>
        <v>3</v>
      </c>
      <c r="H28" t="s">
        <v>146</v>
      </c>
    </row>
    <row r="29" spans="1:15" ht="15.75">
      <c r="A29" s="4">
        <v>28</v>
      </c>
      <c r="C29" s="1" t="s">
        <v>25</v>
      </c>
      <c r="D29" s="1">
        <v>15</v>
      </c>
      <c r="E29" s="1">
        <v>275</v>
      </c>
      <c r="F29" s="1">
        <v>217</v>
      </c>
      <c r="G29" s="17">
        <f t="shared" si="0"/>
        <v>3</v>
      </c>
      <c r="H29" t="s">
        <v>146</v>
      </c>
    </row>
    <row r="30" spans="1:15" ht="15.75">
      <c r="A30">
        <v>29</v>
      </c>
      <c r="C30" s="1" t="s">
        <v>26</v>
      </c>
      <c r="D30" s="1">
        <v>8</v>
      </c>
      <c r="E30" s="1">
        <v>162</v>
      </c>
      <c r="F30" s="1">
        <v>128</v>
      </c>
      <c r="G30" s="17">
        <f t="shared" si="0"/>
        <v>3</v>
      </c>
      <c r="H30" t="s">
        <v>146</v>
      </c>
    </row>
    <row r="31" spans="1:15" ht="15.75">
      <c r="A31">
        <v>30</v>
      </c>
      <c r="C31" s="1" t="s">
        <v>27</v>
      </c>
      <c r="D31" s="1">
        <v>36</v>
      </c>
      <c r="E31" s="1">
        <v>733</v>
      </c>
      <c r="F31" s="1">
        <v>566</v>
      </c>
      <c r="G31" s="17">
        <f t="shared" si="0"/>
        <v>3</v>
      </c>
      <c r="H31" t="s">
        <v>146</v>
      </c>
    </row>
    <row r="32" spans="1:15" ht="15.75">
      <c r="A32">
        <v>31</v>
      </c>
      <c r="C32" s="1" t="s">
        <v>28</v>
      </c>
      <c r="D32" s="1">
        <v>8</v>
      </c>
      <c r="E32" s="1">
        <v>151</v>
      </c>
      <c r="F32" s="1">
        <v>114</v>
      </c>
      <c r="G32" s="17">
        <f t="shared" si="0"/>
        <v>3</v>
      </c>
      <c r="H32" t="s">
        <v>146</v>
      </c>
    </row>
    <row r="33" spans="1:8" ht="15.75">
      <c r="A33">
        <v>32</v>
      </c>
      <c r="C33" s="1" t="s">
        <v>29</v>
      </c>
      <c r="D33" s="1">
        <v>28</v>
      </c>
      <c r="E33" s="1">
        <v>533</v>
      </c>
      <c r="F33" s="1">
        <v>409</v>
      </c>
      <c r="G33" s="17">
        <f t="shared" si="0"/>
        <v>3</v>
      </c>
      <c r="H33" t="s">
        <v>146</v>
      </c>
    </row>
    <row r="34" spans="1:8" ht="15.75">
      <c r="A34">
        <v>33</v>
      </c>
      <c r="C34" s="1" t="s">
        <v>30</v>
      </c>
      <c r="D34" s="1">
        <v>7</v>
      </c>
      <c r="E34" s="1">
        <v>154</v>
      </c>
      <c r="F34" s="1">
        <v>108</v>
      </c>
      <c r="G34" s="17">
        <f t="shared" si="0"/>
        <v>3</v>
      </c>
      <c r="H34" t="s">
        <v>146</v>
      </c>
    </row>
    <row r="35" spans="1:8" ht="15.75">
      <c r="A35">
        <v>34</v>
      </c>
      <c r="C35" s="1" t="s">
        <v>31</v>
      </c>
      <c r="D35" s="1">
        <v>5</v>
      </c>
      <c r="E35" s="1">
        <v>83</v>
      </c>
      <c r="F35" s="1">
        <v>68</v>
      </c>
      <c r="G35" s="17">
        <f t="shared" si="0"/>
        <v>3</v>
      </c>
      <c r="H35" t="s">
        <v>146</v>
      </c>
    </row>
    <row r="36" spans="1:8" ht="15.75">
      <c r="A36">
        <v>35</v>
      </c>
      <c r="B36" s="1" t="s">
        <v>32</v>
      </c>
      <c r="C36" s="1"/>
      <c r="D36" s="1">
        <v>112</v>
      </c>
      <c r="E36" s="1">
        <v>2172</v>
      </c>
      <c r="F36" s="1">
        <v>1722</v>
      </c>
      <c r="G36" s="17">
        <f t="shared" si="0"/>
        <v>2</v>
      </c>
      <c r="H36" t="s">
        <v>145</v>
      </c>
    </row>
    <row r="37" spans="1:8" ht="15.75">
      <c r="A37">
        <v>36</v>
      </c>
      <c r="C37" s="1" t="s">
        <v>33</v>
      </c>
      <c r="D37" s="1">
        <v>9</v>
      </c>
      <c r="E37" s="1">
        <v>161</v>
      </c>
      <c r="F37" s="1">
        <v>127</v>
      </c>
      <c r="G37" s="17">
        <f t="shared" si="0"/>
        <v>3</v>
      </c>
      <c r="H37" t="s">
        <v>146</v>
      </c>
    </row>
    <row r="38" spans="1:8" ht="15.75">
      <c r="A38" s="4">
        <v>37</v>
      </c>
      <c r="C38" s="1" t="s">
        <v>34</v>
      </c>
      <c r="D38" s="1">
        <v>5</v>
      </c>
      <c r="E38" s="1">
        <v>73</v>
      </c>
      <c r="F38" s="1">
        <v>58</v>
      </c>
      <c r="G38" s="17">
        <f t="shared" si="0"/>
        <v>3</v>
      </c>
      <c r="H38" t="s">
        <v>146</v>
      </c>
    </row>
    <row r="39" spans="1:8" ht="15.75">
      <c r="A39">
        <v>38</v>
      </c>
      <c r="C39" s="1" t="s">
        <v>35</v>
      </c>
      <c r="D39" s="1">
        <v>99</v>
      </c>
      <c r="E39" s="1">
        <v>1938</v>
      </c>
      <c r="F39" s="1">
        <v>1537</v>
      </c>
      <c r="G39" s="17">
        <f t="shared" si="0"/>
        <v>3</v>
      </c>
      <c r="H39" t="s">
        <v>146</v>
      </c>
    </row>
    <row r="40" spans="1:8" ht="15.75">
      <c r="A40">
        <v>39</v>
      </c>
      <c r="C40" s="1" t="s">
        <v>36</v>
      </c>
      <c r="G40" s="17" t="str">
        <f t="shared" si="0"/>
        <v/>
      </c>
    </row>
    <row r="41" spans="1:8" ht="15.75">
      <c r="A41">
        <v>40</v>
      </c>
      <c r="C41" s="1" t="s">
        <v>37</v>
      </c>
      <c r="D41" s="1">
        <v>5</v>
      </c>
      <c r="E41" s="1">
        <v>83</v>
      </c>
      <c r="F41" s="1">
        <v>66</v>
      </c>
      <c r="G41" s="17">
        <f t="shared" si="0"/>
        <v>3</v>
      </c>
      <c r="H41" t="s">
        <v>146</v>
      </c>
    </row>
    <row r="42" spans="1:8" ht="15.75">
      <c r="A42">
        <v>41</v>
      </c>
      <c r="C42" s="1" t="s">
        <v>38</v>
      </c>
      <c r="D42" s="1">
        <v>10</v>
      </c>
      <c r="E42" s="1">
        <v>200</v>
      </c>
      <c r="F42" s="1">
        <v>161</v>
      </c>
      <c r="G42" s="17">
        <f t="shared" si="0"/>
        <v>3</v>
      </c>
      <c r="H42" t="s">
        <v>146</v>
      </c>
    </row>
    <row r="43" spans="1:8" ht="15.75">
      <c r="A43">
        <v>42</v>
      </c>
      <c r="C43" s="1" t="s">
        <v>39</v>
      </c>
      <c r="G43" s="17" t="str">
        <f t="shared" si="0"/>
        <v/>
      </c>
    </row>
    <row r="44" spans="1:8" ht="15.75">
      <c r="A44">
        <v>43</v>
      </c>
      <c r="C44" s="1" t="s">
        <v>40</v>
      </c>
      <c r="G44" s="17" t="str">
        <f t="shared" si="0"/>
        <v/>
      </c>
    </row>
    <row r="45" spans="1:8" ht="15.75">
      <c r="A45">
        <v>44</v>
      </c>
      <c r="C45" s="1" t="s">
        <v>41</v>
      </c>
      <c r="D45" s="1">
        <v>8</v>
      </c>
      <c r="E45" s="1">
        <v>155</v>
      </c>
      <c r="F45" s="1">
        <v>124</v>
      </c>
      <c r="G45" s="17">
        <f t="shared" si="0"/>
        <v>3</v>
      </c>
      <c r="H45" t="s">
        <v>146</v>
      </c>
    </row>
    <row r="46" spans="1:8" ht="15.75">
      <c r="A46">
        <v>45</v>
      </c>
      <c r="C46" s="1" t="s">
        <v>42</v>
      </c>
      <c r="G46" s="17" t="str">
        <f t="shared" si="0"/>
        <v/>
      </c>
    </row>
    <row r="47" spans="1:8" ht="15.75">
      <c r="A47" s="4">
        <v>46</v>
      </c>
      <c r="C47" s="1" t="s">
        <v>43</v>
      </c>
      <c r="D47" s="1">
        <v>3</v>
      </c>
      <c r="E47" s="1">
        <v>63</v>
      </c>
      <c r="F47" s="1">
        <v>49</v>
      </c>
      <c r="G47" s="17">
        <f t="shared" si="0"/>
        <v>3</v>
      </c>
      <c r="H47" t="s">
        <v>146</v>
      </c>
    </row>
    <row r="48" spans="1:8" ht="15.75">
      <c r="A48">
        <v>47</v>
      </c>
      <c r="C48" s="1" t="s">
        <v>44</v>
      </c>
      <c r="D48" s="1">
        <v>13</v>
      </c>
      <c r="E48" s="1">
        <v>229</v>
      </c>
      <c r="F48" s="1">
        <v>184</v>
      </c>
      <c r="G48" s="17">
        <f t="shared" si="0"/>
        <v>3</v>
      </c>
      <c r="H48" t="s">
        <v>146</v>
      </c>
    </row>
    <row r="49" spans="1:8" ht="15.75">
      <c r="A49">
        <v>48</v>
      </c>
      <c r="C49" s="1" t="s">
        <v>95</v>
      </c>
      <c r="D49" s="1">
        <v>1</v>
      </c>
      <c r="E49" s="1">
        <v>25</v>
      </c>
      <c r="F49" s="1">
        <v>21</v>
      </c>
      <c r="G49" s="17">
        <f t="shared" si="0"/>
        <v>3</v>
      </c>
      <c r="H49" t="s">
        <v>146</v>
      </c>
    </row>
    <row r="50" spans="1:8" ht="15.75">
      <c r="A50">
        <v>49</v>
      </c>
      <c r="C50" s="1" t="s">
        <v>45</v>
      </c>
      <c r="D50" s="1">
        <v>7</v>
      </c>
      <c r="E50" s="1">
        <v>149</v>
      </c>
      <c r="F50" s="1">
        <v>122</v>
      </c>
      <c r="G50" s="17">
        <f t="shared" si="0"/>
        <v>3</v>
      </c>
      <c r="H50" t="s">
        <v>146</v>
      </c>
    </row>
    <row r="51" spans="1:8" ht="15.75">
      <c r="A51">
        <v>50</v>
      </c>
      <c r="C51" s="1" t="s">
        <v>96</v>
      </c>
      <c r="D51" s="1">
        <v>1</v>
      </c>
      <c r="E51" s="1">
        <v>23</v>
      </c>
      <c r="F51" s="1">
        <v>18</v>
      </c>
      <c r="G51" s="17">
        <f t="shared" si="0"/>
        <v>3</v>
      </c>
      <c r="H51" t="s">
        <v>146</v>
      </c>
    </row>
    <row r="52" spans="1:8" ht="15.75">
      <c r="A52">
        <v>51</v>
      </c>
      <c r="C52" s="1" t="s">
        <v>46</v>
      </c>
      <c r="D52" s="1">
        <v>10</v>
      </c>
      <c r="E52" s="1">
        <v>209</v>
      </c>
      <c r="F52" s="1">
        <v>161</v>
      </c>
      <c r="G52" s="17">
        <f t="shared" si="0"/>
        <v>3</v>
      </c>
      <c r="H52" t="s">
        <v>146</v>
      </c>
    </row>
    <row r="53" spans="1:8" ht="15.75">
      <c r="A53">
        <v>52</v>
      </c>
      <c r="C53" s="1" t="s">
        <v>47</v>
      </c>
      <c r="D53" s="1">
        <v>4</v>
      </c>
      <c r="E53" s="1">
        <v>80</v>
      </c>
      <c r="F53" s="1">
        <v>60</v>
      </c>
      <c r="G53" s="17">
        <f t="shared" si="0"/>
        <v>3</v>
      </c>
      <c r="H53" t="s">
        <v>146</v>
      </c>
    </row>
    <row r="54" spans="1:8" ht="15.75">
      <c r="A54">
        <v>53</v>
      </c>
      <c r="C54" s="1" t="s">
        <v>48</v>
      </c>
      <c r="D54" s="1">
        <v>7</v>
      </c>
      <c r="E54" s="1">
        <v>129</v>
      </c>
      <c r="F54" s="1">
        <v>101</v>
      </c>
      <c r="G54" s="17">
        <f t="shared" si="0"/>
        <v>3</v>
      </c>
      <c r="H54" t="s">
        <v>146</v>
      </c>
    </row>
    <row r="55" spans="1:8" ht="15.75">
      <c r="A55">
        <v>54</v>
      </c>
      <c r="C55" s="1" t="s">
        <v>49</v>
      </c>
      <c r="D55" s="1">
        <v>29</v>
      </c>
      <c r="E55" s="1">
        <v>630</v>
      </c>
      <c r="F55" s="1">
        <v>505</v>
      </c>
      <c r="G55" s="17">
        <f t="shared" si="0"/>
        <v>3</v>
      </c>
      <c r="H55" t="s">
        <v>146</v>
      </c>
    </row>
    <row r="56" spans="1:8" ht="15.75">
      <c r="A56" s="4">
        <v>55</v>
      </c>
      <c r="C56" s="1" t="s">
        <v>97</v>
      </c>
      <c r="D56" s="1">
        <v>1</v>
      </c>
      <c r="E56" s="1">
        <v>18</v>
      </c>
      <c r="F56" s="1">
        <v>14</v>
      </c>
      <c r="G56" s="17">
        <f t="shared" si="0"/>
        <v>3</v>
      </c>
      <c r="H56" t="s">
        <v>146</v>
      </c>
    </row>
    <row r="57" spans="1:8" ht="15.75">
      <c r="A57">
        <v>56</v>
      </c>
      <c r="B57" s="1" t="s">
        <v>50</v>
      </c>
      <c r="C57" s="1"/>
      <c r="D57" s="1">
        <v>83</v>
      </c>
      <c r="E57" s="1">
        <v>1568</v>
      </c>
      <c r="F57" s="1">
        <v>1208</v>
      </c>
      <c r="G57" s="17">
        <f t="shared" si="0"/>
        <v>2</v>
      </c>
      <c r="H57" t="s">
        <v>145</v>
      </c>
    </row>
    <row r="58" spans="1:8" ht="15.75">
      <c r="A58">
        <v>57</v>
      </c>
      <c r="C58" s="1" t="s">
        <v>51</v>
      </c>
      <c r="D58" s="1">
        <v>41</v>
      </c>
      <c r="E58" s="1">
        <v>829</v>
      </c>
      <c r="F58" s="1">
        <v>622</v>
      </c>
      <c r="G58" s="17">
        <f t="shared" si="0"/>
        <v>3</v>
      </c>
      <c r="H58" t="s">
        <v>146</v>
      </c>
    </row>
    <row r="59" spans="1:8" ht="15.75">
      <c r="A59">
        <v>58</v>
      </c>
      <c r="C59" s="1" t="s">
        <v>52</v>
      </c>
      <c r="D59" s="1">
        <v>7</v>
      </c>
      <c r="E59" s="1">
        <v>121</v>
      </c>
      <c r="F59" s="1">
        <v>92</v>
      </c>
      <c r="G59" s="17">
        <f t="shared" si="0"/>
        <v>3</v>
      </c>
      <c r="H59" t="s">
        <v>146</v>
      </c>
    </row>
    <row r="60" spans="1:8" ht="15.75">
      <c r="A60">
        <v>59</v>
      </c>
      <c r="C60" s="1" t="s">
        <v>53</v>
      </c>
      <c r="D60" s="1">
        <v>5</v>
      </c>
      <c r="E60" s="1">
        <v>98</v>
      </c>
      <c r="F60" s="1">
        <v>71</v>
      </c>
      <c r="G60" s="17">
        <f t="shared" si="0"/>
        <v>3</v>
      </c>
      <c r="H60" t="s">
        <v>146</v>
      </c>
    </row>
    <row r="61" spans="1:8" ht="15.75">
      <c r="A61">
        <v>60</v>
      </c>
      <c r="C61" s="1" t="s">
        <v>54</v>
      </c>
      <c r="D61" s="1">
        <v>6</v>
      </c>
      <c r="E61" s="1">
        <v>123</v>
      </c>
      <c r="F61" s="1">
        <v>90</v>
      </c>
      <c r="G61" s="17">
        <f t="shared" si="0"/>
        <v>3</v>
      </c>
      <c r="H61" t="s">
        <v>146</v>
      </c>
    </row>
    <row r="62" spans="1:8" ht="15.75">
      <c r="A62">
        <v>61</v>
      </c>
      <c r="C62" s="1" t="s">
        <v>98</v>
      </c>
      <c r="D62" s="1">
        <v>11</v>
      </c>
      <c r="E62" s="1">
        <v>245</v>
      </c>
      <c r="F62" s="1">
        <v>186</v>
      </c>
      <c r="G62" s="17">
        <f t="shared" si="0"/>
        <v>3</v>
      </c>
      <c r="H62" t="s">
        <v>146</v>
      </c>
    </row>
    <row r="63" spans="1:8" ht="15.75">
      <c r="A63">
        <v>62</v>
      </c>
      <c r="C63" s="1" t="s">
        <v>55</v>
      </c>
      <c r="D63" s="1">
        <v>18</v>
      </c>
      <c r="E63" s="1">
        <v>342</v>
      </c>
      <c r="F63" s="1">
        <v>264</v>
      </c>
      <c r="G63" s="17">
        <f t="shared" si="0"/>
        <v>3</v>
      </c>
      <c r="H63" t="s">
        <v>146</v>
      </c>
    </row>
    <row r="64" spans="1:8" ht="15.75">
      <c r="A64">
        <v>63</v>
      </c>
      <c r="C64" s="1" t="s">
        <v>56</v>
      </c>
      <c r="G64" s="17">
        <f t="shared" si="0"/>
        <v>3</v>
      </c>
      <c r="H64" t="s">
        <v>146</v>
      </c>
    </row>
    <row r="65" spans="1:8" ht="15.75">
      <c r="A65" s="4">
        <v>64</v>
      </c>
      <c r="C65" s="1" t="s">
        <v>57</v>
      </c>
      <c r="D65" s="1">
        <v>1</v>
      </c>
      <c r="E65" s="1">
        <v>14</v>
      </c>
      <c r="F65" s="1">
        <v>12</v>
      </c>
      <c r="G65" s="17">
        <f t="shared" si="0"/>
        <v>3</v>
      </c>
      <c r="H65" t="s">
        <v>146</v>
      </c>
    </row>
    <row r="66" spans="1:8" ht="15.75">
      <c r="A66">
        <v>65</v>
      </c>
      <c r="C66" s="1" t="s">
        <v>58</v>
      </c>
      <c r="G66" s="17">
        <f t="shared" si="0"/>
        <v>3</v>
      </c>
      <c r="H66" t="s">
        <v>146</v>
      </c>
    </row>
    <row r="67" spans="1:8" ht="15.75">
      <c r="A67">
        <v>66</v>
      </c>
      <c r="C67" s="1" t="s">
        <v>59</v>
      </c>
      <c r="D67" s="1">
        <v>6</v>
      </c>
      <c r="E67" s="1">
        <v>100</v>
      </c>
      <c r="F67" s="1">
        <v>82</v>
      </c>
      <c r="G67" s="17">
        <f t="shared" ref="G67:G104" si="1">IF(H67="District",1,IF(H67="Ward",2,IF(H67="Neighborhood",3,"")))</f>
        <v>3</v>
      </c>
      <c r="H67" t="s">
        <v>146</v>
      </c>
    </row>
    <row r="68" spans="1:8" ht="15.75">
      <c r="A68">
        <v>67</v>
      </c>
      <c r="C68" s="1" t="s">
        <v>60</v>
      </c>
      <c r="D68" s="1">
        <v>14</v>
      </c>
      <c r="E68" s="1">
        <v>245</v>
      </c>
      <c r="F68" s="1">
        <v>192</v>
      </c>
      <c r="G68" s="17">
        <f t="shared" si="1"/>
        <v>3</v>
      </c>
      <c r="H68" t="s">
        <v>146</v>
      </c>
    </row>
    <row r="69" spans="1:8" ht="15.75">
      <c r="A69">
        <v>68</v>
      </c>
      <c r="C69" s="1" t="s">
        <v>61</v>
      </c>
      <c r="D69" s="1">
        <v>4</v>
      </c>
      <c r="E69" s="1">
        <v>52</v>
      </c>
      <c r="F69" s="1">
        <v>48</v>
      </c>
      <c r="G69" s="17">
        <f t="shared" si="1"/>
        <v>3</v>
      </c>
      <c r="H69" t="s">
        <v>146</v>
      </c>
    </row>
    <row r="70" spans="1:8" ht="15.75">
      <c r="A70">
        <v>69</v>
      </c>
      <c r="B70" s="1" t="s">
        <v>62</v>
      </c>
      <c r="C70" s="1"/>
      <c r="D70" s="1">
        <v>54</v>
      </c>
      <c r="E70" s="1">
        <v>1052</v>
      </c>
      <c r="F70" s="1">
        <v>851</v>
      </c>
      <c r="G70" s="17">
        <f t="shared" si="1"/>
        <v>2</v>
      </c>
      <c r="H70" t="s">
        <v>145</v>
      </c>
    </row>
    <row r="71" spans="1:8" ht="15.75">
      <c r="A71">
        <v>70</v>
      </c>
      <c r="C71" s="1" t="s">
        <v>63</v>
      </c>
      <c r="D71" s="1">
        <v>6</v>
      </c>
      <c r="E71" s="1">
        <v>102</v>
      </c>
      <c r="F71" s="1">
        <v>82</v>
      </c>
      <c r="G71" s="17">
        <f t="shared" si="1"/>
        <v>3</v>
      </c>
      <c r="H71" t="s">
        <v>146</v>
      </c>
    </row>
    <row r="72" spans="1:8" ht="15.75">
      <c r="A72">
        <v>71</v>
      </c>
      <c r="C72" s="1" t="s">
        <v>64</v>
      </c>
      <c r="D72" s="1">
        <v>10</v>
      </c>
      <c r="E72" s="1">
        <v>172</v>
      </c>
      <c r="F72" s="1">
        <v>137</v>
      </c>
      <c r="G72" s="17">
        <f t="shared" si="1"/>
        <v>3</v>
      </c>
      <c r="H72" t="s">
        <v>146</v>
      </c>
    </row>
    <row r="73" spans="1:8" ht="15.75">
      <c r="A73">
        <v>72</v>
      </c>
      <c r="C73" s="1" t="s">
        <v>65</v>
      </c>
      <c r="D73" s="1">
        <v>28</v>
      </c>
      <c r="E73" s="1">
        <v>563</v>
      </c>
      <c r="F73" s="1">
        <v>446</v>
      </c>
      <c r="G73" s="17">
        <f t="shared" si="1"/>
        <v>3</v>
      </c>
      <c r="H73" t="s">
        <v>146</v>
      </c>
    </row>
    <row r="74" spans="1:8" ht="15.75">
      <c r="A74" s="4">
        <v>73</v>
      </c>
      <c r="C74" s="1" t="s">
        <v>66</v>
      </c>
      <c r="D74" s="1">
        <v>10</v>
      </c>
      <c r="E74" s="1">
        <v>215</v>
      </c>
      <c r="F74" s="1">
        <v>186</v>
      </c>
      <c r="G74" s="17">
        <f t="shared" si="1"/>
        <v>3</v>
      </c>
      <c r="H74" t="s">
        <v>146</v>
      </c>
    </row>
    <row r="75" spans="1:8" ht="15.75">
      <c r="A75">
        <v>74</v>
      </c>
      <c r="C75" s="1" t="s">
        <v>67</v>
      </c>
      <c r="D75" s="1">
        <v>14</v>
      </c>
      <c r="E75" s="1">
        <v>267</v>
      </c>
      <c r="F75" s="1">
        <v>219</v>
      </c>
      <c r="G75" s="17">
        <f t="shared" si="1"/>
        <v>3</v>
      </c>
      <c r="H75" t="s">
        <v>146</v>
      </c>
    </row>
    <row r="76" spans="1:8" ht="15.75">
      <c r="A76">
        <v>75</v>
      </c>
      <c r="B76" s="1" t="s">
        <v>68</v>
      </c>
      <c r="C76" s="1"/>
      <c r="D76" s="1">
        <v>39</v>
      </c>
      <c r="E76" s="1">
        <v>780</v>
      </c>
      <c r="F76" s="1">
        <v>601</v>
      </c>
      <c r="G76" s="17">
        <f t="shared" si="1"/>
        <v>2</v>
      </c>
      <c r="H76" t="s">
        <v>145</v>
      </c>
    </row>
    <row r="77" spans="1:8" ht="15.75">
      <c r="A77">
        <v>76</v>
      </c>
      <c r="C77" s="1" t="s">
        <v>69</v>
      </c>
      <c r="D77" s="1">
        <v>8</v>
      </c>
      <c r="E77" s="1">
        <v>155</v>
      </c>
      <c r="F77" s="1">
        <v>124</v>
      </c>
      <c r="G77" s="17">
        <f t="shared" si="1"/>
        <v>3</v>
      </c>
      <c r="H77" t="s">
        <v>146</v>
      </c>
    </row>
    <row r="78" spans="1:8" ht="15.75">
      <c r="A78">
        <v>77</v>
      </c>
      <c r="C78" s="1" t="s">
        <v>70</v>
      </c>
      <c r="D78" s="1">
        <v>17</v>
      </c>
      <c r="E78" s="1">
        <v>347</v>
      </c>
      <c r="F78" s="1">
        <v>265</v>
      </c>
      <c r="G78" s="17">
        <f t="shared" si="1"/>
        <v>3</v>
      </c>
      <c r="H78" t="s">
        <v>146</v>
      </c>
    </row>
    <row r="79" spans="1:8" ht="15.75">
      <c r="A79">
        <v>78</v>
      </c>
      <c r="C79" s="1" t="s">
        <v>71</v>
      </c>
      <c r="D79" s="1">
        <v>7</v>
      </c>
      <c r="E79" s="1">
        <v>132</v>
      </c>
      <c r="F79" s="1">
        <v>99</v>
      </c>
      <c r="G79" s="17">
        <f t="shared" si="1"/>
        <v>3</v>
      </c>
      <c r="H79" t="s">
        <v>146</v>
      </c>
    </row>
    <row r="80" spans="1:8" ht="15.75">
      <c r="A80">
        <v>79</v>
      </c>
      <c r="C80" s="1" t="s">
        <v>72</v>
      </c>
      <c r="D80" s="1">
        <v>7</v>
      </c>
      <c r="E80" s="1">
        <v>146</v>
      </c>
      <c r="F80" s="1">
        <v>113</v>
      </c>
      <c r="G80" s="17">
        <f t="shared" si="1"/>
        <v>3</v>
      </c>
      <c r="H80" t="s">
        <v>146</v>
      </c>
    </row>
    <row r="81" spans="1:8" ht="15.75">
      <c r="A81" s="2">
        <v>80</v>
      </c>
      <c r="B81" s="2" t="s">
        <v>100</v>
      </c>
      <c r="C81" s="3"/>
      <c r="D81" s="3">
        <v>238</v>
      </c>
      <c r="E81" s="3">
        <v>4809</v>
      </c>
      <c r="F81" s="3">
        <v>3673</v>
      </c>
      <c r="G81" s="11">
        <f t="shared" si="1"/>
        <v>1</v>
      </c>
      <c r="H81" s="2" t="s">
        <v>144</v>
      </c>
    </row>
    <row r="82" spans="1:8" ht="15.75">
      <c r="A82">
        <v>81</v>
      </c>
      <c r="B82" s="1" t="s">
        <v>73</v>
      </c>
      <c r="C82" s="1"/>
      <c r="D82" s="1">
        <v>155</v>
      </c>
      <c r="E82" s="1">
        <v>3000</v>
      </c>
      <c r="F82" s="1">
        <v>2296</v>
      </c>
      <c r="G82" s="17">
        <f t="shared" si="1"/>
        <v>2</v>
      </c>
      <c r="H82" t="s">
        <v>145</v>
      </c>
    </row>
    <row r="83" spans="1:8" ht="15.75">
      <c r="A83" s="4">
        <v>82</v>
      </c>
      <c r="C83" s="1" t="s">
        <v>74</v>
      </c>
      <c r="D83" s="1">
        <v>38</v>
      </c>
      <c r="E83" s="1">
        <v>758</v>
      </c>
      <c r="F83" s="1">
        <v>571</v>
      </c>
      <c r="G83" s="17">
        <f t="shared" si="1"/>
        <v>3</v>
      </c>
      <c r="H83" t="s">
        <v>146</v>
      </c>
    </row>
    <row r="84" spans="1:8" ht="15.75">
      <c r="A84">
        <v>83</v>
      </c>
      <c r="C84" s="1" t="s">
        <v>75</v>
      </c>
      <c r="D84" s="1">
        <v>31</v>
      </c>
      <c r="E84" s="1">
        <v>587</v>
      </c>
      <c r="F84" s="1">
        <v>446</v>
      </c>
      <c r="G84" s="17">
        <f t="shared" si="1"/>
        <v>3</v>
      </c>
      <c r="H84" t="s">
        <v>146</v>
      </c>
    </row>
    <row r="85" spans="1:8" ht="15.75">
      <c r="A85">
        <v>84</v>
      </c>
      <c r="C85" s="1" t="s">
        <v>76</v>
      </c>
      <c r="D85" s="1">
        <v>11</v>
      </c>
      <c r="E85" s="1">
        <v>214</v>
      </c>
      <c r="F85" s="1">
        <v>161</v>
      </c>
      <c r="G85" s="17">
        <f t="shared" si="1"/>
        <v>3</v>
      </c>
      <c r="H85" t="s">
        <v>146</v>
      </c>
    </row>
    <row r="86" spans="1:8" ht="15.75">
      <c r="A86">
        <v>85</v>
      </c>
      <c r="C86" s="1" t="s">
        <v>77</v>
      </c>
      <c r="D86" s="1">
        <v>1</v>
      </c>
      <c r="E86" s="1">
        <v>24</v>
      </c>
      <c r="F86" s="1">
        <v>19</v>
      </c>
      <c r="G86" s="17">
        <f t="shared" si="1"/>
        <v>3</v>
      </c>
      <c r="H86" t="s">
        <v>146</v>
      </c>
    </row>
    <row r="87" spans="1:8" ht="15.75">
      <c r="A87">
        <v>86</v>
      </c>
      <c r="C87" s="1" t="s">
        <v>78</v>
      </c>
      <c r="D87" s="1">
        <v>6</v>
      </c>
      <c r="E87" s="1">
        <v>129</v>
      </c>
      <c r="F87" s="1">
        <v>94</v>
      </c>
      <c r="G87" s="17">
        <f t="shared" si="1"/>
        <v>3</v>
      </c>
      <c r="H87" t="s">
        <v>146</v>
      </c>
    </row>
    <row r="88" spans="1:8" ht="15.75">
      <c r="A88">
        <v>87</v>
      </c>
      <c r="C88" s="1" t="s">
        <v>79</v>
      </c>
      <c r="D88" s="1">
        <v>14</v>
      </c>
      <c r="E88" s="1">
        <v>275</v>
      </c>
      <c r="F88" s="1">
        <v>216</v>
      </c>
      <c r="G88" s="17">
        <f t="shared" si="1"/>
        <v>3</v>
      </c>
      <c r="H88" t="s">
        <v>146</v>
      </c>
    </row>
    <row r="89" spans="1:8" ht="15.75">
      <c r="A89">
        <v>88</v>
      </c>
      <c r="C89" s="1" t="s">
        <v>80</v>
      </c>
      <c r="D89" s="1">
        <v>26</v>
      </c>
      <c r="E89" s="1">
        <v>475</v>
      </c>
      <c r="F89" s="1">
        <v>366</v>
      </c>
      <c r="G89" s="17">
        <f t="shared" si="1"/>
        <v>3</v>
      </c>
      <c r="H89" t="s">
        <v>146</v>
      </c>
    </row>
    <row r="90" spans="1:8" ht="15.75">
      <c r="A90">
        <v>89</v>
      </c>
      <c r="B90" s="1" t="s">
        <v>81</v>
      </c>
      <c r="C90" s="1"/>
      <c r="D90" s="1">
        <v>82</v>
      </c>
      <c r="E90" s="1">
        <v>1754</v>
      </c>
      <c r="F90" s="1">
        <v>1367</v>
      </c>
      <c r="G90" s="17">
        <f t="shared" si="1"/>
        <v>2</v>
      </c>
      <c r="H90" t="s">
        <v>145</v>
      </c>
    </row>
    <row r="91" spans="1:8" ht="15.75">
      <c r="A91">
        <v>90</v>
      </c>
      <c r="C91" s="1" t="s">
        <v>82</v>
      </c>
      <c r="D91" s="1">
        <v>11</v>
      </c>
      <c r="E91" s="1">
        <v>214</v>
      </c>
      <c r="F91" s="1">
        <v>169</v>
      </c>
      <c r="G91" s="17">
        <f t="shared" si="1"/>
        <v>3</v>
      </c>
      <c r="H91" t="s">
        <v>146</v>
      </c>
    </row>
    <row r="92" spans="1:8" ht="15.75">
      <c r="A92" s="4">
        <v>91</v>
      </c>
      <c r="C92" s="1" t="s">
        <v>83</v>
      </c>
      <c r="D92" s="1">
        <v>16</v>
      </c>
      <c r="E92" s="1">
        <v>300</v>
      </c>
      <c r="F92" s="1">
        <v>233</v>
      </c>
      <c r="G92" s="17">
        <f t="shared" si="1"/>
        <v>3</v>
      </c>
      <c r="H92" t="s">
        <v>146</v>
      </c>
    </row>
    <row r="93" spans="1:8" ht="15.75">
      <c r="A93">
        <v>92</v>
      </c>
      <c r="C93" s="1" t="s">
        <v>84</v>
      </c>
      <c r="D93" s="1">
        <v>30</v>
      </c>
      <c r="E93" s="1">
        <v>630</v>
      </c>
      <c r="F93" s="1">
        <v>488</v>
      </c>
      <c r="G93" s="17">
        <f t="shared" si="1"/>
        <v>3</v>
      </c>
      <c r="H93" t="s">
        <v>146</v>
      </c>
    </row>
    <row r="94" spans="1:8" ht="15.75">
      <c r="A94">
        <v>93</v>
      </c>
      <c r="C94" s="1" t="s">
        <v>85</v>
      </c>
      <c r="D94" s="1">
        <v>22</v>
      </c>
      <c r="E94" s="1">
        <v>481</v>
      </c>
      <c r="F94" s="1">
        <v>370</v>
      </c>
      <c r="G94" s="17">
        <f t="shared" si="1"/>
        <v>3</v>
      </c>
      <c r="H94" t="s">
        <v>146</v>
      </c>
    </row>
    <row r="95" spans="1:8" ht="15.75">
      <c r="A95">
        <v>94</v>
      </c>
      <c r="C95" s="1" t="s">
        <v>86</v>
      </c>
      <c r="D95" s="1">
        <v>5</v>
      </c>
      <c r="E95" s="1">
        <v>129</v>
      </c>
      <c r="F95" s="1">
        <v>107</v>
      </c>
      <c r="G95" s="17">
        <f t="shared" si="1"/>
        <v>3</v>
      </c>
      <c r="H95" t="s">
        <v>146</v>
      </c>
    </row>
    <row r="96" spans="1:8" ht="15.75">
      <c r="A96">
        <v>95</v>
      </c>
      <c r="B96" s="1" t="s">
        <v>87</v>
      </c>
      <c r="C96" s="1"/>
      <c r="D96" s="1">
        <v>31</v>
      </c>
      <c r="E96" s="1">
        <v>630</v>
      </c>
      <c r="F96" s="1">
        <v>488</v>
      </c>
      <c r="G96" s="17">
        <f t="shared" si="1"/>
        <v>2</v>
      </c>
      <c r="H96" t="s">
        <v>145</v>
      </c>
    </row>
    <row r="97" spans="1:8" ht="15.75">
      <c r="A97">
        <v>96</v>
      </c>
      <c r="C97" s="1" t="s">
        <v>88</v>
      </c>
      <c r="D97" s="1">
        <v>31</v>
      </c>
      <c r="E97" s="1">
        <v>630</v>
      </c>
      <c r="F97" s="1">
        <v>488</v>
      </c>
      <c r="G97" s="17">
        <f t="shared" si="1"/>
        <v>3</v>
      </c>
      <c r="H97" t="s">
        <v>146</v>
      </c>
    </row>
    <row r="98" spans="1:8" ht="15.75">
      <c r="A98" s="2">
        <v>97</v>
      </c>
      <c r="B98" s="3" t="s">
        <v>89</v>
      </c>
      <c r="C98" s="3"/>
      <c r="D98" s="3">
        <v>25</v>
      </c>
      <c r="E98" s="3">
        <v>526</v>
      </c>
      <c r="F98" s="3">
        <v>419</v>
      </c>
      <c r="G98" s="11">
        <f t="shared" si="1"/>
        <v>1</v>
      </c>
      <c r="H98" s="2" t="s">
        <v>144</v>
      </c>
    </row>
    <row r="99" spans="1:8" ht="15.75">
      <c r="A99">
        <v>98</v>
      </c>
      <c r="C99" s="1" t="s">
        <v>90</v>
      </c>
      <c r="D99" s="1">
        <v>14</v>
      </c>
      <c r="E99" s="1">
        <v>284</v>
      </c>
      <c r="F99" s="1">
        <v>226</v>
      </c>
      <c r="G99" s="17">
        <f t="shared" si="1"/>
        <v>3</v>
      </c>
      <c r="H99" t="s">
        <v>146</v>
      </c>
    </row>
    <row r="100" spans="1:8" ht="15.75">
      <c r="A100">
        <v>99</v>
      </c>
      <c r="C100" s="1" t="s">
        <v>91</v>
      </c>
      <c r="D100" s="1">
        <v>9</v>
      </c>
      <c r="E100" s="1">
        <v>201</v>
      </c>
      <c r="F100" s="1">
        <v>161</v>
      </c>
      <c r="G100" s="17">
        <f t="shared" si="1"/>
        <v>3</v>
      </c>
      <c r="H100" t="s">
        <v>146</v>
      </c>
    </row>
    <row r="101" spans="1:8" ht="15.75">
      <c r="A101" s="4">
        <v>100</v>
      </c>
      <c r="C101" s="1" t="s">
        <v>101</v>
      </c>
      <c r="D101" s="1">
        <v>4</v>
      </c>
      <c r="E101" s="1">
        <v>115</v>
      </c>
      <c r="F101" s="1">
        <v>92</v>
      </c>
      <c r="G101" s="17">
        <f t="shared" si="1"/>
        <v>3</v>
      </c>
      <c r="H101" t="s">
        <v>146</v>
      </c>
    </row>
    <row r="102" spans="1:8" ht="15.75">
      <c r="A102">
        <v>101</v>
      </c>
      <c r="C102" s="1" t="s">
        <v>92</v>
      </c>
      <c r="D102" s="1">
        <v>5</v>
      </c>
      <c r="E102" s="1">
        <v>86</v>
      </c>
      <c r="F102" s="1">
        <v>69</v>
      </c>
      <c r="G102" s="17">
        <f t="shared" si="1"/>
        <v>3</v>
      </c>
      <c r="H102" t="s">
        <v>146</v>
      </c>
    </row>
    <row r="103" spans="1:8" ht="15.75">
      <c r="A103" s="2">
        <v>102</v>
      </c>
      <c r="B103" s="3" t="s">
        <v>93</v>
      </c>
      <c r="C103" s="3"/>
      <c r="D103" s="3">
        <v>2</v>
      </c>
      <c r="E103" s="3">
        <v>41</v>
      </c>
      <c r="F103" s="3">
        <v>32</v>
      </c>
      <c r="G103" s="11">
        <f t="shared" si="1"/>
        <v>1</v>
      </c>
      <c r="H103" s="2" t="s">
        <v>144</v>
      </c>
    </row>
    <row r="104" spans="1:8" ht="15.75">
      <c r="A104">
        <v>103</v>
      </c>
      <c r="B104" s="1" t="s">
        <v>94</v>
      </c>
      <c r="C104" s="1"/>
      <c r="D104" s="1">
        <v>12</v>
      </c>
      <c r="E104" s="1">
        <v>221</v>
      </c>
      <c r="F104" s="1">
        <v>181</v>
      </c>
      <c r="G104" s="17">
        <f t="shared" si="1"/>
        <v>3</v>
      </c>
      <c r="H104" t="s">
        <v>146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8B6DF09-5822-47B1-BAE6-6610C19E0C19}">
          <x14:formula1>
            <xm:f>'City Levels'!$A$32:$A$35</xm:f>
          </x14:formula1>
          <xm:sqref>H3:H104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C06AA-491C-432F-A8D3-F2786B2DD187}">
  <dimension ref="A1:G62"/>
  <sheetViews>
    <sheetView tabSelected="1" workbookViewId="0">
      <selection sqref="A1:G62"/>
    </sheetView>
  </sheetViews>
  <sheetFormatPr defaultRowHeight="15"/>
  <sheetData>
    <row r="1" spans="1:7">
      <c r="A1" s="18" t="s">
        <v>201</v>
      </c>
    </row>
    <row r="2" spans="1:7" ht="18" thickBot="1">
      <c r="A2" s="19" t="s">
        <v>202</v>
      </c>
    </row>
    <row r="3" spans="1:7" ht="60.75" thickBot="1">
      <c r="A3" s="20" t="s">
        <v>203</v>
      </c>
      <c r="B3" s="20" t="s">
        <v>198</v>
      </c>
      <c r="C3" s="20" t="s">
        <v>204</v>
      </c>
      <c r="D3" s="20" t="s">
        <v>205</v>
      </c>
      <c r="E3" s="20" t="s">
        <v>206</v>
      </c>
      <c r="F3" s="20" t="s">
        <v>207</v>
      </c>
      <c r="G3" s="20" t="s">
        <v>208</v>
      </c>
    </row>
    <row r="4" spans="1:7" ht="45.75" thickBot="1">
      <c r="A4" s="20" t="s">
        <v>209</v>
      </c>
      <c r="B4" s="21" t="s">
        <v>144</v>
      </c>
      <c r="C4" s="20">
        <v>1</v>
      </c>
      <c r="D4" s="21" t="s">
        <v>210</v>
      </c>
      <c r="E4" s="21" t="s">
        <v>211</v>
      </c>
      <c r="F4" s="20">
        <v>9.5</v>
      </c>
      <c r="G4" s="20">
        <v>252</v>
      </c>
    </row>
    <row r="5" spans="1:7" ht="100.5" thickBot="1">
      <c r="A5" s="21" t="s">
        <v>212</v>
      </c>
      <c r="B5" s="21" t="s">
        <v>145</v>
      </c>
      <c r="C5" s="20">
        <v>2</v>
      </c>
      <c r="D5" s="21" t="s">
        <v>210</v>
      </c>
      <c r="E5" s="21" t="s">
        <v>211</v>
      </c>
      <c r="F5" s="20">
        <v>9.5</v>
      </c>
      <c r="G5" s="20">
        <v>252</v>
      </c>
    </row>
    <row r="6" spans="1:7" ht="43.5" thickBot="1">
      <c r="A6" s="21" t="s">
        <v>213</v>
      </c>
      <c r="B6" s="21" t="s">
        <v>146</v>
      </c>
      <c r="C6" s="20">
        <v>3</v>
      </c>
      <c r="D6" s="21" t="s">
        <v>214</v>
      </c>
      <c r="E6" s="21" t="s">
        <v>215</v>
      </c>
      <c r="F6" s="20">
        <v>3</v>
      </c>
      <c r="G6" s="20">
        <v>63</v>
      </c>
    </row>
    <row r="7" spans="1:7" ht="72" thickBot="1">
      <c r="A7" s="21" t="s">
        <v>216</v>
      </c>
      <c r="B7" s="21" t="s">
        <v>146</v>
      </c>
      <c r="C7" s="20">
        <v>3</v>
      </c>
      <c r="D7" s="21" t="s">
        <v>217</v>
      </c>
      <c r="E7" s="21" t="s">
        <v>218</v>
      </c>
      <c r="F7" s="20">
        <v>7</v>
      </c>
      <c r="G7" s="20">
        <v>37</v>
      </c>
    </row>
    <row r="8" spans="1:7" ht="43.5" thickBot="1">
      <c r="A8" s="21" t="s">
        <v>219</v>
      </c>
      <c r="B8" s="21" t="s">
        <v>146</v>
      </c>
      <c r="C8" s="20">
        <v>3</v>
      </c>
      <c r="D8" s="21" t="s">
        <v>220</v>
      </c>
      <c r="E8" s="21" t="s">
        <v>221</v>
      </c>
      <c r="F8" s="20">
        <v>10</v>
      </c>
      <c r="G8" s="20">
        <v>36</v>
      </c>
    </row>
    <row r="9" spans="1:7" ht="72" thickBot="1">
      <c r="A9" s="21" t="s">
        <v>222</v>
      </c>
      <c r="B9" s="21" t="s">
        <v>146</v>
      </c>
      <c r="C9" s="20">
        <v>3</v>
      </c>
      <c r="D9" s="21" t="s">
        <v>223</v>
      </c>
      <c r="E9" s="21" t="s">
        <v>224</v>
      </c>
      <c r="F9" s="20">
        <v>12.5</v>
      </c>
      <c r="G9" s="20">
        <v>40</v>
      </c>
    </row>
    <row r="10" spans="1:7" ht="57.75" thickBot="1">
      <c r="A10" s="21" t="s">
        <v>225</v>
      </c>
      <c r="B10" s="21" t="s">
        <v>146</v>
      </c>
      <c r="C10" s="20">
        <v>3</v>
      </c>
      <c r="D10" s="22">
        <v>5.1388888888888887E-2</v>
      </c>
      <c r="E10" s="21" t="s">
        <v>226</v>
      </c>
      <c r="F10" s="20">
        <v>14</v>
      </c>
      <c r="G10" s="20">
        <v>27</v>
      </c>
    </row>
    <row r="11" spans="1:7" ht="72" thickBot="1">
      <c r="A11" s="21" t="s">
        <v>227</v>
      </c>
      <c r="B11" s="21" t="s">
        <v>146</v>
      </c>
      <c r="C11" s="20">
        <v>3</v>
      </c>
      <c r="D11" s="22">
        <v>5.2083333333333336E-2</v>
      </c>
      <c r="E11" s="21" t="s">
        <v>228</v>
      </c>
      <c r="F11" s="20">
        <v>15</v>
      </c>
      <c r="G11" s="20">
        <v>23</v>
      </c>
    </row>
    <row r="12" spans="1:7" ht="57.75" thickBot="1">
      <c r="A12" s="21" t="s">
        <v>229</v>
      </c>
      <c r="B12" s="21" t="s">
        <v>146</v>
      </c>
      <c r="C12" s="20">
        <v>3</v>
      </c>
      <c r="D12" s="21" t="s">
        <v>230</v>
      </c>
      <c r="E12" s="21" t="s">
        <v>231</v>
      </c>
      <c r="F12" s="20">
        <v>17</v>
      </c>
      <c r="G12" s="20">
        <v>42</v>
      </c>
    </row>
    <row r="13" spans="1:7" ht="105.75" thickBot="1">
      <c r="A13" s="20" t="s">
        <v>232</v>
      </c>
      <c r="B13" s="21" t="s">
        <v>144</v>
      </c>
      <c r="C13" s="20">
        <v>1</v>
      </c>
      <c r="D13" s="21" t="s">
        <v>233</v>
      </c>
      <c r="E13" s="21" t="s">
        <v>234</v>
      </c>
      <c r="F13" s="20">
        <v>35</v>
      </c>
      <c r="G13" s="20">
        <v>480</v>
      </c>
    </row>
    <row r="14" spans="1:7" ht="72" thickBot="1">
      <c r="A14" s="21" t="s">
        <v>235</v>
      </c>
      <c r="B14" s="21" t="s">
        <v>145</v>
      </c>
      <c r="C14" s="20">
        <v>2</v>
      </c>
      <c r="D14" s="21" t="s">
        <v>236</v>
      </c>
      <c r="E14" s="21" t="s">
        <v>237</v>
      </c>
      <c r="F14" s="20">
        <v>23.5</v>
      </c>
      <c r="G14" s="20">
        <v>127</v>
      </c>
    </row>
    <row r="15" spans="1:7" ht="72" thickBot="1">
      <c r="A15" s="21" t="s">
        <v>238</v>
      </c>
      <c r="B15" s="21" t="s">
        <v>145</v>
      </c>
      <c r="C15" s="20">
        <v>2</v>
      </c>
      <c r="D15" s="21" t="s">
        <v>239</v>
      </c>
      <c r="E15" s="21" t="s">
        <v>240</v>
      </c>
      <c r="F15" s="20">
        <v>31.5</v>
      </c>
      <c r="G15" s="20">
        <v>95</v>
      </c>
    </row>
    <row r="16" spans="1:7" ht="86.25" thickBot="1">
      <c r="A16" s="21" t="s">
        <v>241</v>
      </c>
      <c r="B16" s="21" t="s">
        <v>145</v>
      </c>
      <c r="C16" s="20">
        <v>2</v>
      </c>
      <c r="D16" s="21" t="s">
        <v>242</v>
      </c>
      <c r="E16" s="21" t="s">
        <v>243</v>
      </c>
      <c r="F16" s="20">
        <v>43</v>
      </c>
      <c r="G16" s="20">
        <v>258</v>
      </c>
    </row>
    <row r="17" spans="1:7" ht="57.75" thickBot="1">
      <c r="A17" s="21" t="s">
        <v>244</v>
      </c>
      <c r="B17" s="21" t="s">
        <v>146</v>
      </c>
      <c r="C17" s="20">
        <v>3</v>
      </c>
      <c r="D17" s="21" t="s">
        <v>245</v>
      </c>
      <c r="E17" s="21" t="s">
        <v>246</v>
      </c>
      <c r="F17" s="20">
        <v>38.5</v>
      </c>
      <c r="G17" s="20">
        <v>120</v>
      </c>
    </row>
    <row r="18" spans="1:7" ht="86.25" thickBot="1">
      <c r="A18" s="21" t="s">
        <v>247</v>
      </c>
      <c r="B18" s="21" t="s">
        <v>146</v>
      </c>
      <c r="C18" s="20">
        <v>3</v>
      </c>
      <c r="D18" s="21" t="s">
        <v>248</v>
      </c>
      <c r="E18" s="21" t="s">
        <v>249</v>
      </c>
      <c r="F18" s="20">
        <v>47</v>
      </c>
      <c r="G18" s="20">
        <v>138</v>
      </c>
    </row>
    <row r="19" spans="1:7" ht="75.75" thickBot="1">
      <c r="A19" s="20" t="s">
        <v>250</v>
      </c>
      <c r="B19" s="21" t="s">
        <v>144</v>
      </c>
      <c r="C19" s="20">
        <v>1</v>
      </c>
      <c r="D19" s="21" t="s">
        <v>251</v>
      </c>
      <c r="E19" s="21" t="s">
        <v>252</v>
      </c>
      <c r="F19" s="20">
        <v>319</v>
      </c>
      <c r="G19" s="23">
        <v>7707</v>
      </c>
    </row>
    <row r="20" spans="1:7" ht="90.75" thickBot="1">
      <c r="A20" s="20" t="s">
        <v>253</v>
      </c>
      <c r="B20" s="21" t="s">
        <v>145</v>
      </c>
      <c r="C20" s="20">
        <v>2</v>
      </c>
      <c r="D20" s="21" t="s">
        <v>254</v>
      </c>
      <c r="E20" s="21" t="s">
        <v>255</v>
      </c>
      <c r="F20" s="20">
        <v>109</v>
      </c>
      <c r="G20" s="23">
        <v>1811</v>
      </c>
    </row>
    <row r="21" spans="1:7" ht="57.75" thickBot="1">
      <c r="A21" s="21" t="s">
        <v>256</v>
      </c>
      <c r="B21" s="21" t="s">
        <v>146</v>
      </c>
      <c r="C21" s="20">
        <v>3</v>
      </c>
      <c r="D21" s="21" t="s">
        <v>257</v>
      </c>
      <c r="E21" s="21" t="s">
        <v>258</v>
      </c>
      <c r="F21" s="20">
        <v>57.5</v>
      </c>
      <c r="G21" s="20">
        <v>188</v>
      </c>
    </row>
    <row r="22" spans="1:7" ht="57.75" thickBot="1">
      <c r="A22" s="21" t="s">
        <v>259</v>
      </c>
      <c r="B22" s="21" t="s">
        <v>146</v>
      </c>
      <c r="C22" s="20">
        <v>3</v>
      </c>
      <c r="D22" s="21" t="s">
        <v>260</v>
      </c>
      <c r="E22" s="21" t="s">
        <v>261</v>
      </c>
      <c r="F22" s="20">
        <v>70</v>
      </c>
      <c r="G22" s="20">
        <v>198</v>
      </c>
    </row>
    <row r="23" spans="1:7" ht="72" thickBot="1">
      <c r="A23" s="21" t="s">
        <v>262</v>
      </c>
      <c r="B23" s="21" t="s">
        <v>146</v>
      </c>
      <c r="C23" s="20">
        <v>3</v>
      </c>
      <c r="D23" s="21" t="s">
        <v>263</v>
      </c>
      <c r="E23" s="21" t="s">
        <v>264</v>
      </c>
      <c r="F23" s="20">
        <v>87</v>
      </c>
      <c r="G23" s="20">
        <v>347</v>
      </c>
    </row>
    <row r="24" spans="1:7" ht="72" thickBot="1">
      <c r="A24" s="21" t="s">
        <v>265</v>
      </c>
      <c r="B24" s="21" t="s">
        <v>146</v>
      </c>
      <c r="C24" s="20">
        <v>3</v>
      </c>
      <c r="D24" s="21" t="s">
        <v>266</v>
      </c>
      <c r="E24" s="21" t="s">
        <v>267</v>
      </c>
      <c r="F24" s="20">
        <v>105</v>
      </c>
      <c r="G24" s="20">
        <v>233</v>
      </c>
    </row>
    <row r="25" spans="1:7" ht="72" thickBot="1">
      <c r="A25" s="21" t="s">
        <v>268</v>
      </c>
      <c r="B25" s="21" t="s">
        <v>146</v>
      </c>
      <c r="C25" s="20">
        <v>3</v>
      </c>
      <c r="D25" s="21" t="s">
        <v>269</v>
      </c>
      <c r="E25" s="21" t="s">
        <v>270</v>
      </c>
      <c r="F25" s="20">
        <v>133.5</v>
      </c>
      <c r="G25" s="20">
        <v>634</v>
      </c>
    </row>
    <row r="26" spans="1:7" ht="72" thickBot="1">
      <c r="A26" s="21" t="s">
        <v>271</v>
      </c>
      <c r="B26" s="21" t="s">
        <v>146</v>
      </c>
      <c r="C26" s="20">
        <v>3</v>
      </c>
      <c r="D26" s="21" t="s">
        <v>272</v>
      </c>
      <c r="E26" s="21" t="s">
        <v>273</v>
      </c>
      <c r="F26" s="20">
        <v>156</v>
      </c>
      <c r="G26" s="20">
        <v>37</v>
      </c>
    </row>
    <row r="27" spans="1:7" ht="72" thickBot="1">
      <c r="A27" s="21" t="s">
        <v>274</v>
      </c>
      <c r="B27" s="21" t="s">
        <v>146</v>
      </c>
      <c r="C27" s="20">
        <v>3</v>
      </c>
      <c r="D27" s="21" t="s">
        <v>275</v>
      </c>
      <c r="E27" s="21" t="s">
        <v>276</v>
      </c>
      <c r="F27" s="20">
        <v>162</v>
      </c>
      <c r="G27" s="20">
        <v>152</v>
      </c>
    </row>
    <row r="28" spans="1:7" ht="75.75" thickBot="1">
      <c r="A28" s="20" t="s">
        <v>277</v>
      </c>
      <c r="B28" s="21" t="s">
        <v>145</v>
      </c>
      <c r="C28" s="20">
        <v>2</v>
      </c>
      <c r="D28" s="21" t="s">
        <v>278</v>
      </c>
      <c r="E28" s="21" t="s">
        <v>279</v>
      </c>
      <c r="F28" s="20">
        <v>225.5</v>
      </c>
      <c r="G28" s="23">
        <v>1730</v>
      </c>
    </row>
    <row r="29" spans="1:7" ht="72" thickBot="1">
      <c r="A29" s="21" t="s">
        <v>280</v>
      </c>
      <c r="B29" s="21" t="s">
        <v>146</v>
      </c>
      <c r="C29" s="20">
        <v>3</v>
      </c>
      <c r="D29" s="21" t="s">
        <v>281</v>
      </c>
      <c r="E29" s="21" t="s">
        <v>282</v>
      </c>
      <c r="F29" s="20">
        <v>176.5</v>
      </c>
      <c r="G29" s="20">
        <v>303</v>
      </c>
    </row>
    <row r="30" spans="1:7" ht="72" thickBot="1">
      <c r="A30" s="21" t="s">
        <v>283</v>
      </c>
      <c r="B30" s="21" t="s">
        <v>146</v>
      </c>
      <c r="C30" s="20">
        <v>3</v>
      </c>
      <c r="D30" s="21" t="s">
        <v>284</v>
      </c>
      <c r="E30" s="21" t="s">
        <v>285</v>
      </c>
      <c r="F30" s="20">
        <v>191.5</v>
      </c>
      <c r="G30" s="20">
        <v>169</v>
      </c>
    </row>
    <row r="31" spans="1:7" ht="57.75" thickBot="1">
      <c r="A31" s="21" t="s">
        <v>286</v>
      </c>
      <c r="B31" s="21" t="s">
        <v>146</v>
      </c>
      <c r="C31" s="20">
        <v>3</v>
      </c>
      <c r="D31" s="21" t="s">
        <v>287</v>
      </c>
      <c r="E31" s="21" t="s">
        <v>288</v>
      </c>
      <c r="F31" s="20">
        <v>205</v>
      </c>
      <c r="G31" s="20">
        <v>248</v>
      </c>
    </row>
    <row r="32" spans="1:7" ht="43.5" thickBot="1">
      <c r="A32" s="21" t="s">
        <v>289</v>
      </c>
      <c r="B32" s="21" t="s">
        <v>146</v>
      </c>
      <c r="C32" s="20">
        <v>3</v>
      </c>
      <c r="D32" s="21" t="s">
        <v>290</v>
      </c>
      <c r="E32" s="21" t="s">
        <v>291</v>
      </c>
      <c r="F32" s="20">
        <v>221</v>
      </c>
      <c r="G32" s="20">
        <v>217</v>
      </c>
    </row>
    <row r="33" spans="1:7" ht="72" thickBot="1">
      <c r="A33" s="21" t="s">
        <v>292</v>
      </c>
      <c r="B33" s="21" t="s">
        <v>146</v>
      </c>
      <c r="C33" s="20">
        <v>3</v>
      </c>
      <c r="D33" s="21" t="s">
        <v>293</v>
      </c>
      <c r="E33" s="21" t="s">
        <v>294</v>
      </c>
      <c r="F33" s="20">
        <v>232.5</v>
      </c>
      <c r="G33" s="20">
        <v>128</v>
      </c>
    </row>
    <row r="34" spans="1:7" ht="57.75" thickBot="1">
      <c r="A34" s="21" t="s">
        <v>295</v>
      </c>
      <c r="B34" s="21" t="s">
        <v>146</v>
      </c>
      <c r="C34" s="20">
        <v>3</v>
      </c>
      <c r="D34" s="21" t="s">
        <v>296</v>
      </c>
      <c r="E34" s="21" t="s">
        <v>297</v>
      </c>
      <c r="F34" s="20">
        <v>254.5</v>
      </c>
      <c r="G34" s="20">
        <v>566</v>
      </c>
    </row>
    <row r="35" spans="1:7" ht="86.25" thickBot="1">
      <c r="A35" s="21" t="s">
        <v>298</v>
      </c>
      <c r="B35" s="21" t="s">
        <v>146</v>
      </c>
      <c r="C35" s="20">
        <v>3</v>
      </c>
      <c r="D35" s="21" t="s">
        <v>299</v>
      </c>
      <c r="E35" s="21" t="s">
        <v>300</v>
      </c>
      <c r="F35" s="20">
        <v>276</v>
      </c>
      <c r="G35" s="20">
        <v>108</v>
      </c>
    </row>
    <row r="36" spans="1:7" ht="72" thickBot="1">
      <c r="A36" s="21" t="s">
        <v>301</v>
      </c>
      <c r="B36" s="21" t="s">
        <v>146</v>
      </c>
      <c r="C36" s="20">
        <v>3</v>
      </c>
      <c r="D36" s="21" t="s">
        <v>302</v>
      </c>
      <c r="E36" s="21" t="s">
        <v>303</v>
      </c>
      <c r="F36" s="20">
        <v>282</v>
      </c>
      <c r="G36" s="20">
        <v>68</v>
      </c>
    </row>
    <row r="37" spans="1:7" ht="90.75" thickBot="1">
      <c r="A37" s="20" t="s">
        <v>304</v>
      </c>
      <c r="B37" s="21" t="s">
        <v>145</v>
      </c>
      <c r="C37" s="20">
        <v>2</v>
      </c>
      <c r="D37" s="21" t="s">
        <v>305</v>
      </c>
      <c r="E37" s="21" t="s">
        <v>306</v>
      </c>
      <c r="F37" s="20">
        <v>340.5</v>
      </c>
      <c r="G37" s="23">
        <v>1722</v>
      </c>
    </row>
    <row r="38" spans="1:7" ht="75.75" thickBot="1">
      <c r="A38" s="20" t="s">
        <v>307</v>
      </c>
      <c r="B38" s="21" t="s">
        <v>145</v>
      </c>
      <c r="C38" s="20">
        <v>2</v>
      </c>
      <c r="D38" s="21" t="s">
        <v>308</v>
      </c>
      <c r="E38" s="21" t="s">
        <v>309</v>
      </c>
      <c r="F38" s="20">
        <v>438</v>
      </c>
      <c r="G38" s="23">
        <v>1208</v>
      </c>
    </row>
    <row r="39" spans="1:7" ht="75.75" thickBot="1">
      <c r="A39" s="20" t="s">
        <v>310</v>
      </c>
      <c r="B39" s="21" t="s">
        <v>145</v>
      </c>
      <c r="C39" s="20">
        <v>2</v>
      </c>
      <c r="D39" s="21" t="s">
        <v>311</v>
      </c>
      <c r="E39" s="21" t="s">
        <v>312</v>
      </c>
      <c r="F39" s="20">
        <v>506.5</v>
      </c>
      <c r="G39" s="20">
        <v>851</v>
      </c>
    </row>
    <row r="40" spans="1:7" ht="75.75" thickBot="1">
      <c r="A40" s="20" t="s">
        <v>313</v>
      </c>
      <c r="B40" s="21" t="s">
        <v>145</v>
      </c>
      <c r="C40" s="20">
        <v>2</v>
      </c>
      <c r="D40" s="21" t="s">
        <v>314</v>
      </c>
      <c r="E40" s="21" t="s">
        <v>315</v>
      </c>
      <c r="F40" s="20">
        <v>567</v>
      </c>
      <c r="G40" s="20">
        <v>601</v>
      </c>
    </row>
    <row r="41" spans="1:7" ht="75.75" thickBot="1">
      <c r="A41" s="20" t="s">
        <v>316</v>
      </c>
      <c r="B41" s="21" t="s">
        <v>144</v>
      </c>
      <c r="C41" s="20">
        <v>1</v>
      </c>
      <c r="D41" s="21" t="s">
        <v>317</v>
      </c>
      <c r="E41" s="21" t="s">
        <v>318</v>
      </c>
      <c r="F41" s="20">
        <v>733</v>
      </c>
      <c r="G41" s="23">
        <v>3892</v>
      </c>
    </row>
    <row r="42" spans="1:7" ht="90.75" thickBot="1">
      <c r="A42" s="20" t="s">
        <v>319</v>
      </c>
      <c r="B42" s="21" t="s">
        <v>145</v>
      </c>
      <c r="C42" s="20">
        <v>2</v>
      </c>
      <c r="D42" s="21" t="s">
        <v>320</v>
      </c>
      <c r="E42" s="21" t="s">
        <v>321</v>
      </c>
      <c r="F42" s="20">
        <v>664</v>
      </c>
      <c r="G42" s="23">
        <v>2229</v>
      </c>
    </row>
    <row r="43" spans="1:7" ht="72" thickBot="1">
      <c r="A43" s="21" t="s">
        <v>322</v>
      </c>
      <c r="B43" s="21" t="s">
        <v>146</v>
      </c>
      <c r="C43" s="20">
        <v>3</v>
      </c>
      <c r="D43" s="21" t="s">
        <v>323</v>
      </c>
      <c r="E43" s="21" t="s">
        <v>324</v>
      </c>
      <c r="F43" s="20">
        <v>605.5</v>
      </c>
      <c r="G43" s="20">
        <v>571</v>
      </c>
    </row>
    <row r="44" spans="1:7" ht="57.75" thickBot="1">
      <c r="A44" s="21" t="s">
        <v>325</v>
      </c>
      <c r="B44" s="21" t="s">
        <v>146</v>
      </c>
      <c r="C44" s="20">
        <v>3</v>
      </c>
      <c r="D44" s="21" t="s">
        <v>326</v>
      </c>
      <c r="E44" s="21" t="s">
        <v>327</v>
      </c>
      <c r="F44" s="20">
        <v>640</v>
      </c>
      <c r="G44" s="20">
        <v>446</v>
      </c>
    </row>
    <row r="45" spans="1:7" ht="72" thickBot="1">
      <c r="A45" s="21" t="s">
        <v>328</v>
      </c>
      <c r="B45" s="21" t="s">
        <v>146</v>
      </c>
      <c r="C45" s="20">
        <v>3</v>
      </c>
      <c r="D45" s="21" t="s">
        <v>329</v>
      </c>
      <c r="E45" s="21" t="s">
        <v>330</v>
      </c>
      <c r="F45" s="20">
        <v>661</v>
      </c>
      <c r="G45" s="20">
        <v>161</v>
      </c>
    </row>
    <row r="46" spans="1:7" ht="86.25" thickBot="1">
      <c r="A46" s="21" t="s">
        <v>331</v>
      </c>
      <c r="B46" s="21" t="s">
        <v>146</v>
      </c>
      <c r="C46" s="20">
        <v>3</v>
      </c>
      <c r="D46" s="21" t="s">
        <v>332</v>
      </c>
      <c r="E46" s="21" t="s">
        <v>333</v>
      </c>
      <c r="F46" s="20">
        <v>669.5</v>
      </c>
      <c r="G46" s="20">
        <v>94</v>
      </c>
    </row>
    <row r="47" spans="1:7" ht="72" thickBot="1">
      <c r="A47" s="21" t="s">
        <v>334</v>
      </c>
      <c r="B47" s="21" t="s">
        <v>146</v>
      </c>
      <c r="C47" s="20">
        <v>3</v>
      </c>
      <c r="D47" s="21" t="s">
        <v>335</v>
      </c>
      <c r="E47" s="21" t="s">
        <v>336</v>
      </c>
      <c r="F47" s="20">
        <v>679.5</v>
      </c>
      <c r="G47" s="20">
        <v>216</v>
      </c>
    </row>
    <row r="48" spans="1:7" ht="72" thickBot="1">
      <c r="A48" s="21" t="s">
        <v>337</v>
      </c>
      <c r="B48" s="21" t="s">
        <v>146</v>
      </c>
      <c r="C48" s="20">
        <v>3</v>
      </c>
      <c r="D48" s="21" t="s">
        <v>338</v>
      </c>
      <c r="E48" s="21" t="s">
        <v>339</v>
      </c>
      <c r="F48" s="20">
        <v>700.5</v>
      </c>
      <c r="G48" s="20">
        <v>442</v>
      </c>
    </row>
    <row r="49" spans="1:7" ht="57.75" thickBot="1">
      <c r="A49" s="21" t="s">
        <v>340</v>
      </c>
      <c r="B49" s="21" t="s">
        <v>146</v>
      </c>
      <c r="C49" s="20">
        <v>3</v>
      </c>
      <c r="D49" s="21" t="s">
        <v>341</v>
      </c>
      <c r="E49" s="21" t="s">
        <v>342</v>
      </c>
      <c r="F49" s="20">
        <v>728.5</v>
      </c>
      <c r="G49" s="20">
        <v>366</v>
      </c>
    </row>
    <row r="50" spans="1:7" ht="90.75" thickBot="1">
      <c r="A50" s="20" t="s">
        <v>343</v>
      </c>
      <c r="B50" s="21" t="s">
        <v>145</v>
      </c>
      <c r="C50" s="20">
        <v>2</v>
      </c>
      <c r="D50" s="21" t="s">
        <v>344</v>
      </c>
      <c r="E50" s="21" t="s">
        <v>345</v>
      </c>
      <c r="F50" s="20">
        <v>782.5</v>
      </c>
      <c r="G50" s="23">
        <v>1367</v>
      </c>
    </row>
    <row r="51" spans="1:7" ht="72" thickBot="1">
      <c r="A51" s="21" t="s">
        <v>346</v>
      </c>
      <c r="B51" s="21" t="s">
        <v>146</v>
      </c>
      <c r="C51" s="20">
        <v>3</v>
      </c>
      <c r="D51" s="21" t="s">
        <v>347</v>
      </c>
      <c r="E51" s="21" t="s">
        <v>348</v>
      </c>
      <c r="F51" s="20">
        <v>747</v>
      </c>
      <c r="G51" s="20">
        <v>169</v>
      </c>
    </row>
    <row r="52" spans="1:7" ht="86.25" thickBot="1">
      <c r="A52" s="21" t="s">
        <v>349</v>
      </c>
      <c r="B52" s="21" t="s">
        <v>146</v>
      </c>
      <c r="C52" s="20">
        <v>3</v>
      </c>
      <c r="D52" s="21" t="s">
        <v>350</v>
      </c>
      <c r="E52" s="21" t="s">
        <v>351</v>
      </c>
      <c r="F52" s="20">
        <v>760.5</v>
      </c>
      <c r="G52" s="20">
        <v>233</v>
      </c>
    </row>
    <row r="53" spans="1:7" ht="57.75" thickBot="1">
      <c r="A53" s="21" t="s">
        <v>352</v>
      </c>
      <c r="B53" s="21" t="s">
        <v>146</v>
      </c>
      <c r="C53" s="20">
        <v>3</v>
      </c>
      <c r="D53" s="21" t="s">
        <v>353</v>
      </c>
      <c r="E53" s="21" t="s">
        <v>354</v>
      </c>
      <c r="F53" s="20">
        <v>783</v>
      </c>
      <c r="G53" s="20">
        <v>488</v>
      </c>
    </row>
    <row r="54" spans="1:7" ht="72" thickBot="1">
      <c r="A54" s="21" t="s">
        <v>355</v>
      </c>
      <c r="B54" s="21" t="s">
        <v>146</v>
      </c>
      <c r="C54" s="20">
        <v>3</v>
      </c>
      <c r="D54" s="21" t="s">
        <v>356</v>
      </c>
      <c r="E54" s="21" t="s">
        <v>357</v>
      </c>
      <c r="F54" s="20">
        <v>807.5</v>
      </c>
      <c r="G54" s="20">
        <v>370</v>
      </c>
    </row>
    <row r="55" spans="1:7" ht="72" thickBot="1">
      <c r="A55" s="21" t="s">
        <v>358</v>
      </c>
      <c r="B55" s="21" t="s">
        <v>146</v>
      </c>
      <c r="C55" s="20">
        <v>3</v>
      </c>
      <c r="D55" s="21" t="s">
        <v>359</v>
      </c>
      <c r="E55" s="21" t="s">
        <v>360</v>
      </c>
      <c r="F55" s="20">
        <v>821</v>
      </c>
      <c r="G55" s="20">
        <v>107</v>
      </c>
    </row>
    <row r="56" spans="1:7" ht="60.75" thickBot="1">
      <c r="A56" s="20" t="s">
        <v>361</v>
      </c>
      <c r="B56" s="21" t="s">
        <v>145</v>
      </c>
      <c r="C56" s="20">
        <v>2</v>
      </c>
      <c r="D56" s="21" t="s">
        <v>362</v>
      </c>
      <c r="E56" s="21" t="s">
        <v>363</v>
      </c>
      <c r="F56" s="20">
        <v>839</v>
      </c>
      <c r="G56" s="20">
        <v>469</v>
      </c>
    </row>
    <row r="57" spans="1:7" ht="90.75" thickBot="1">
      <c r="A57" s="20" t="s">
        <v>364</v>
      </c>
      <c r="B57" s="21" t="s">
        <v>145</v>
      </c>
      <c r="C57" s="20">
        <v>2</v>
      </c>
      <c r="D57" s="21" t="s">
        <v>365</v>
      </c>
      <c r="E57" s="21" t="s">
        <v>366</v>
      </c>
      <c r="F57" s="20">
        <v>867</v>
      </c>
      <c r="G57" s="20">
        <v>419</v>
      </c>
    </row>
    <row r="58" spans="1:7" ht="45.75" thickBot="1">
      <c r="A58" s="20" t="s">
        <v>367</v>
      </c>
      <c r="B58" s="21" t="s">
        <v>144</v>
      </c>
      <c r="C58" s="20">
        <v>1</v>
      </c>
      <c r="D58" s="21" t="s">
        <v>368</v>
      </c>
      <c r="E58" s="21" t="s">
        <v>369</v>
      </c>
      <c r="F58" s="20">
        <v>878.5</v>
      </c>
      <c r="G58" s="20">
        <v>32</v>
      </c>
    </row>
    <row r="59" spans="1:7" ht="17.25">
      <c r="A59" s="19" t="s">
        <v>370</v>
      </c>
    </row>
    <row r="60" spans="1:7">
      <c r="A60" s="24" t="s">
        <v>371</v>
      </c>
    </row>
    <row r="61" spans="1:7">
      <c r="A61" s="24" t="s">
        <v>372</v>
      </c>
    </row>
    <row r="62" spans="1:7">
      <c r="A62" s="24" t="s">
        <v>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60757-59AD-486D-B18F-DAFCBDA60DB0}">
  <dimension ref="A1:G23"/>
  <sheetViews>
    <sheetView workbookViewId="0">
      <selection activeCell="F22" sqref="A1:F22"/>
    </sheetView>
  </sheetViews>
  <sheetFormatPr defaultRowHeight="15"/>
  <cols>
    <col min="1" max="1" width="14.28515625" customWidth="1"/>
    <col min="2" max="3" width="8.140625" bestFit="1" customWidth="1"/>
    <col min="5" max="5" width="14.42578125" bestFit="1" customWidth="1"/>
    <col min="6" max="6" width="14.42578125" customWidth="1"/>
    <col min="7" max="7" width="8.5703125" style="8" bestFit="1" customWidth="1"/>
  </cols>
  <sheetData>
    <row r="1" spans="1:7" ht="45.75" thickBot="1">
      <c r="A1" s="6" t="s">
        <v>150</v>
      </c>
      <c r="B1" s="6" t="s">
        <v>151</v>
      </c>
      <c r="C1" s="6" t="s">
        <v>199</v>
      </c>
      <c r="D1" s="6" t="s">
        <v>200</v>
      </c>
      <c r="E1" s="6" t="s">
        <v>196</v>
      </c>
      <c r="F1" s="6" t="s">
        <v>197</v>
      </c>
      <c r="G1" s="9" t="s">
        <v>152</v>
      </c>
    </row>
    <row r="2" spans="1:7" ht="15.75" thickBot="1">
      <c r="A2" s="6" t="s">
        <v>153</v>
      </c>
      <c r="B2" s="7">
        <v>51</v>
      </c>
      <c r="C2" s="12">
        <v>5.347222222222222E-2</v>
      </c>
      <c r="D2" s="12">
        <v>6.5277777777777782E-2</v>
      </c>
      <c r="E2" s="12">
        <v>7.7083333333333337E-2</v>
      </c>
      <c r="F2" s="16">
        <f>B2/2</f>
        <v>25.5</v>
      </c>
      <c r="G2" s="13" t="s">
        <v>154</v>
      </c>
    </row>
    <row r="3" spans="1:7" ht="15.75" thickBot="1">
      <c r="A3" s="6" t="s">
        <v>155</v>
      </c>
      <c r="B3" s="7">
        <v>25</v>
      </c>
      <c r="C3" s="12">
        <v>8.8888888888888892E-2</v>
      </c>
      <c r="D3" s="12">
        <v>9.5138888888888884E-2</v>
      </c>
      <c r="E3" s="12">
        <v>0.10069444444444445</v>
      </c>
      <c r="F3" s="16">
        <f t="shared" ref="F3:F22" si="0">B3/2</f>
        <v>12.5</v>
      </c>
      <c r="G3" s="13" t="s">
        <v>156</v>
      </c>
    </row>
    <row r="4" spans="1:7" ht="15.75" thickBot="1">
      <c r="A4" s="6" t="s">
        <v>157</v>
      </c>
      <c r="B4" s="7">
        <v>36</v>
      </c>
      <c r="C4" s="12">
        <v>0.13333333333333333</v>
      </c>
      <c r="D4" s="12">
        <v>0.14166666666666666</v>
      </c>
      <c r="E4" s="12">
        <v>0.15</v>
      </c>
      <c r="F4" s="16">
        <f t="shared" si="0"/>
        <v>18</v>
      </c>
      <c r="G4" s="13" t="s">
        <v>158</v>
      </c>
    </row>
    <row r="5" spans="1:7" ht="15.75" thickBot="1">
      <c r="A5" s="6" t="s">
        <v>159</v>
      </c>
      <c r="B5" s="7">
        <v>54</v>
      </c>
      <c r="C5" s="12">
        <v>0.17916666666666667</v>
      </c>
      <c r="D5" s="12">
        <v>0.19166666666666668</v>
      </c>
      <c r="E5" s="12">
        <v>0.20416666666666666</v>
      </c>
      <c r="F5" s="16">
        <f t="shared" si="0"/>
        <v>27</v>
      </c>
      <c r="G5" s="13" t="s">
        <v>160</v>
      </c>
    </row>
    <row r="6" spans="1:7" ht="15.75" thickBot="1">
      <c r="A6" s="6" t="s">
        <v>161</v>
      </c>
      <c r="B6" s="7">
        <v>47</v>
      </c>
      <c r="C6" s="12">
        <v>0.21944444444444444</v>
      </c>
      <c r="D6" s="12">
        <v>0.2298611111111111</v>
      </c>
      <c r="E6" s="12">
        <v>0.24097222222222223</v>
      </c>
      <c r="F6" s="16">
        <f t="shared" si="0"/>
        <v>23.5</v>
      </c>
      <c r="G6" s="13" t="s">
        <v>162</v>
      </c>
    </row>
    <row r="7" spans="1:7" ht="15.75" thickBot="1">
      <c r="A7" s="6" t="s">
        <v>163</v>
      </c>
      <c r="B7" s="7">
        <v>71</v>
      </c>
      <c r="C7" s="12">
        <v>0.26666666666666666</v>
      </c>
      <c r="D7" s="12">
        <v>0.28263888888888888</v>
      </c>
      <c r="E7" s="14" t="s">
        <v>194</v>
      </c>
      <c r="F7" s="16">
        <f t="shared" si="0"/>
        <v>35.5</v>
      </c>
      <c r="G7" s="13" t="s">
        <v>164</v>
      </c>
    </row>
    <row r="8" spans="1:7" ht="15.75" thickBot="1">
      <c r="A8" s="6" t="s">
        <v>165</v>
      </c>
      <c r="B8" s="7">
        <v>53</v>
      </c>
      <c r="C8" s="12">
        <v>0.30416666666666664</v>
      </c>
      <c r="D8" s="12">
        <v>0.31597222222222221</v>
      </c>
      <c r="E8" s="12">
        <v>0.32847222222222222</v>
      </c>
      <c r="F8" s="16">
        <f t="shared" si="0"/>
        <v>26.5</v>
      </c>
      <c r="G8" s="13" t="s">
        <v>166</v>
      </c>
    </row>
    <row r="9" spans="1:7" ht="15.75" thickBot="1">
      <c r="A9" s="6" t="s">
        <v>167</v>
      </c>
      <c r="B9" s="7">
        <v>59</v>
      </c>
      <c r="C9" s="12">
        <v>0.34722222222222221</v>
      </c>
      <c r="D9" s="12">
        <v>0.36041666666666666</v>
      </c>
      <c r="E9" s="12">
        <v>0.37430555555555556</v>
      </c>
      <c r="F9" s="16">
        <f t="shared" si="0"/>
        <v>29.5</v>
      </c>
      <c r="G9" s="13" t="s">
        <v>168</v>
      </c>
    </row>
    <row r="10" spans="1:7" ht="15.75" thickBot="1">
      <c r="A10" s="6" t="s">
        <v>169</v>
      </c>
      <c r="B10" s="7">
        <v>41</v>
      </c>
      <c r="C10" s="12">
        <v>0.38472222222222224</v>
      </c>
      <c r="D10" s="12">
        <v>0.39374999999999999</v>
      </c>
      <c r="E10" s="12">
        <v>0.40347222222222223</v>
      </c>
      <c r="F10" s="16">
        <f t="shared" si="0"/>
        <v>20.5</v>
      </c>
      <c r="G10" s="13" t="s">
        <v>170</v>
      </c>
    </row>
    <row r="11" spans="1:7" ht="15.75" thickBot="1">
      <c r="A11" s="6" t="s">
        <v>171</v>
      </c>
      <c r="B11" s="7">
        <v>42</v>
      </c>
      <c r="C11" s="12">
        <v>0.42638888888888887</v>
      </c>
      <c r="D11" s="12">
        <v>0.43611111111111112</v>
      </c>
      <c r="E11" s="12">
        <v>0.44583333333333336</v>
      </c>
      <c r="F11" s="16">
        <f t="shared" si="0"/>
        <v>21</v>
      </c>
      <c r="G11" s="13" t="s">
        <v>172</v>
      </c>
    </row>
    <row r="12" spans="1:7" ht="15.75" thickBot="1">
      <c r="A12" s="6" t="s">
        <v>173</v>
      </c>
      <c r="B12" s="7">
        <v>57</v>
      </c>
      <c r="C12" s="12">
        <v>0.47152777777777777</v>
      </c>
      <c r="D12" s="12">
        <v>0.48472222222222222</v>
      </c>
      <c r="E12" s="12">
        <v>0.49791666666666667</v>
      </c>
      <c r="F12" s="16">
        <f t="shared" si="0"/>
        <v>28.5</v>
      </c>
      <c r="G12" s="13" t="s">
        <v>174</v>
      </c>
    </row>
    <row r="13" spans="1:7" ht="15.75" thickBot="1">
      <c r="A13" s="6" t="s">
        <v>175</v>
      </c>
      <c r="B13" s="7">
        <v>50</v>
      </c>
      <c r="C13" s="12">
        <v>0.51180555555555551</v>
      </c>
      <c r="D13" s="12">
        <v>0.5229166666666667</v>
      </c>
      <c r="E13" s="12">
        <v>0.53472222222222221</v>
      </c>
      <c r="F13" s="16">
        <f t="shared" si="0"/>
        <v>25</v>
      </c>
      <c r="G13" s="13" t="s">
        <v>176</v>
      </c>
    </row>
    <row r="14" spans="1:7" ht="15.75" thickBot="1">
      <c r="A14" s="6" t="s">
        <v>177</v>
      </c>
      <c r="B14" s="7">
        <v>38</v>
      </c>
      <c r="C14" s="12">
        <v>0.55069444444444449</v>
      </c>
      <c r="D14" s="12">
        <v>0.55902777777777779</v>
      </c>
      <c r="E14" s="12">
        <v>0.56805555555555554</v>
      </c>
      <c r="F14" s="16">
        <f t="shared" si="0"/>
        <v>19</v>
      </c>
      <c r="G14" s="13" t="s">
        <v>178</v>
      </c>
    </row>
    <row r="15" spans="1:7" ht="15.75" thickBot="1">
      <c r="A15" s="6" t="s">
        <v>179</v>
      </c>
      <c r="B15" s="7">
        <v>31</v>
      </c>
      <c r="C15" s="12">
        <v>0.59027777777777779</v>
      </c>
      <c r="D15" s="12">
        <v>0.59791666666666665</v>
      </c>
      <c r="E15" s="12">
        <v>0.60486111111111107</v>
      </c>
      <c r="F15" s="16">
        <f t="shared" si="0"/>
        <v>15.5</v>
      </c>
      <c r="G15" s="13" t="s">
        <v>180</v>
      </c>
    </row>
    <row r="16" spans="1:7" ht="15.75" thickBot="1">
      <c r="A16" s="6" t="s">
        <v>181</v>
      </c>
      <c r="B16" s="7">
        <v>27</v>
      </c>
      <c r="C16" s="12">
        <v>0.63124999999999998</v>
      </c>
      <c r="D16" s="12">
        <v>0.63749999999999996</v>
      </c>
      <c r="E16" s="12">
        <v>0.64375000000000004</v>
      </c>
      <c r="F16" s="16">
        <f t="shared" si="0"/>
        <v>13.5</v>
      </c>
      <c r="G16" s="13" t="s">
        <v>182</v>
      </c>
    </row>
    <row r="17" spans="1:7" ht="15.75" thickBot="1">
      <c r="A17" s="6" t="s">
        <v>183</v>
      </c>
      <c r="B17" s="7">
        <v>33</v>
      </c>
      <c r="C17" s="12">
        <v>0.6743055555555556</v>
      </c>
      <c r="D17" s="12">
        <v>0.68194444444444446</v>
      </c>
      <c r="E17" s="12">
        <v>0.68958333333333333</v>
      </c>
      <c r="F17" s="16">
        <f t="shared" si="0"/>
        <v>16.5</v>
      </c>
      <c r="G17" s="13" t="s">
        <v>184</v>
      </c>
    </row>
    <row r="18" spans="1:7" ht="15.75" thickBot="1">
      <c r="A18" s="6" t="s">
        <v>185</v>
      </c>
      <c r="B18" s="7">
        <v>26</v>
      </c>
      <c r="C18" s="12">
        <v>0.71458333333333335</v>
      </c>
      <c r="D18" s="12">
        <v>0.72013888888888888</v>
      </c>
      <c r="E18" s="12">
        <v>0.72638888888888886</v>
      </c>
      <c r="F18" s="16">
        <f t="shared" si="0"/>
        <v>13</v>
      </c>
      <c r="G18" s="13" t="s">
        <v>186</v>
      </c>
    </row>
    <row r="19" spans="1:7" ht="15.75" thickBot="1">
      <c r="A19" s="6" t="s">
        <v>187</v>
      </c>
      <c r="B19" s="7">
        <v>40</v>
      </c>
      <c r="C19" s="12">
        <v>0.75902777777777775</v>
      </c>
      <c r="D19" s="12">
        <v>0.76875000000000004</v>
      </c>
      <c r="E19" s="12">
        <v>0.77777777777777779</v>
      </c>
      <c r="F19" s="16">
        <f t="shared" si="0"/>
        <v>20</v>
      </c>
      <c r="G19" s="13" t="s">
        <v>188</v>
      </c>
    </row>
    <row r="20" spans="1:7" ht="15.75" thickBot="1">
      <c r="A20" s="6" t="s">
        <v>189</v>
      </c>
      <c r="B20" s="7">
        <v>42</v>
      </c>
      <c r="C20" s="12">
        <v>0.80138888888888893</v>
      </c>
      <c r="D20" s="12">
        <v>0.81111111111111112</v>
      </c>
      <c r="E20" s="12">
        <v>0.8208333333333333</v>
      </c>
      <c r="F20" s="16">
        <f t="shared" si="0"/>
        <v>21</v>
      </c>
      <c r="G20" s="13" t="s">
        <v>190</v>
      </c>
    </row>
    <row r="21" spans="1:7" ht="15.75" thickBot="1">
      <c r="A21" s="6" t="s">
        <v>191</v>
      </c>
      <c r="B21" s="7">
        <v>31</v>
      </c>
      <c r="C21" s="12">
        <v>0.84027777777777779</v>
      </c>
      <c r="D21" s="12">
        <v>0.84791666666666665</v>
      </c>
      <c r="E21" s="12">
        <v>0.85486111111111107</v>
      </c>
      <c r="F21" s="16">
        <f t="shared" si="0"/>
        <v>15.5</v>
      </c>
      <c r="G21" s="13" t="s">
        <v>192</v>
      </c>
    </row>
    <row r="22" spans="1:7" ht="19.5" thickBot="1">
      <c r="A22" s="6" t="s">
        <v>193</v>
      </c>
      <c r="B22" s="7">
        <v>25</v>
      </c>
      <c r="C22" s="12">
        <v>0.88055555555555554</v>
      </c>
      <c r="D22" s="12">
        <v>0.88680555555555551</v>
      </c>
      <c r="E22" s="15" t="s">
        <v>195</v>
      </c>
      <c r="F22" s="16">
        <f t="shared" si="0"/>
        <v>12.5</v>
      </c>
    </row>
    <row r="23" spans="1:7">
      <c r="B23">
        <f>SUM(B2:B22)</f>
        <v>879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86985-27D3-4B97-B153-1122518E93F5}">
  <dimension ref="A1:Q35"/>
  <sheetViews>
    <sheetView workbookViewId="0">
      <selection activeCell="A35" sqref="A35"/>
    </sheetView>
  </sheetViews>
  <sheetFormatPr defaultRowHeight="15"/>
  <cols>
    <col min="1" max="1" width="26.85546875" bestFit="1" customWidth="1"/>
    <col min="2" max="2" width="44.85546875" bestFit="1" customWidth="1"/>
    <col min="3" max="3" width="37.140625" bestFit="1" customWidth="1"/>
  </cols>
  <sheetData>
    <row r="1" spans="1:17" ht="17.25">
      <c r="A1" s="5" t="s">
        <v>107</v>
      </c>
      <c r="B1" s="8"/>
      <c r="C1" s="8"/>
    </row>
    <row r="2" spans="1:17" ht="15.75" thickBot="1">
      <c r="A2" s="8"/>
      <c r="B2" s="8"/>
      <c r="C2" s="8"/>
    </row>
    <row r="3" spans="1:17" ht="15.75" thickBot="1">
      <c r="A3" s="9" t="s">
        <v>108</v>
      </c>
      <c r="B3" s="9" t="s">
        <v>109</v>
      </c>
      <c r="C3" s="9" t="s">
        <v>110</v>
      </c>
    </row>
    <row r="4" spans="1:17" ht="15.75" thickBot="1">
      <c r="A4" s="9" t="s">
        <v>111</v>
      </c>
      <c r="B4" s="10" t="s">
        <v>112</v>
      </c>
      <c r="C4" s="10" t="s">
        <v>113</v>
      </c>
    </row>
    <row r="5" spans="1:17" ht="15.75" thickBot="1">
      <c r="A5" s="9" t="s">
        <v>114</v>
      </c>
      <c r="B5" s="10" t="s">
        <v>115</v>
      </c>
      <c r="C5" s="10" t="s">
        <v>116</v>
      </c>
      <c r="Q5" s="8"/>
    </row>
    <row r="6" spans="1:17" ht="15.75" thickBot="1">
      <c r="A6" s="9" t="s">
        <v>117</v>
      </c>
      <c r="B6" s="10" t="s">
        <v>118</v>
      </c>
      <c r="C6" s="10" t="s">
        <v>119</v>
      </c>
    </row>
    <row r="7" spans="1:17" ht="15.75" thickBot="1">
      <c r="A7" s="9" t="s">
        <v>120</v>
      </c>
      <c r="B7" s="10" t="s">
        <v>121</v>
      </c>
      <c r="C7" s="10" t="s">
        <v>122</v>
      </c>
    </row>
    <row r="9" spans="1:17">
      <c r="A9" t="s">
        <v>123</v>
      </c>
    </row>
    <row r="10" spans="1:17">
      <c r="A10" t="s">
        <v>124</v>
      </c>
    </row>
    <row r="11" spans="1:17">
      <c r="B11" t="s">
        <v>131</v>
      </c>
    </row>
    <row r="12" spans="1:17">
      <c r="B12" t="s">
        <v>132</v>
      </c>
    </row>
    <row r="13" spans="1:17">
      <c r="B13" t="s">
        <v>141</v>
      </c>
    </row>
    <row r="14" spans="1:17">
      <c r="A14" t="s">
        <v>125</v>
      </c>
    </row>
    <row r="15" spans="1:17">
      <c r="A15" t="s">
        <v>126</v>
      </c>
    </row>
    <row r="16" spans="1:17">
      <c r="B16" t="s">
        <v>133</v>
      </c>
    </row>
    <row r="17" spans="1:2">
      <c r="B17" t="s">
        <v>134</v>
      </c>
    </row>
    <row r="18" spans="1:2">
      <c r="B18" t="s">
        <v>135</v>
      </c>
    </row>
    <row r="19" spans="1:2">
      <c r="A19" t="s">
        <v>127</v>
      </c>
    </row>
    <row r="20" spans="1:2">
      <c r="A20" t="s">
        <v>128</v>
      </c>
    </row>
    <row r="21" spans="1:2">
      <c r="B21" t="s">
        <v>142</v>
      </c>
    </row>
    <row r="22" spans="1:2">
      <c r="B22" t="s">
        <v>136</v>
      </c>
    </row>
    <row r="23" spans="1:2">
      <c r="B23" t="s">
        <v>137</v>
      </c>
    </row>
    <row r="24" spans="1:2">
      <c r="A24" t="s">
        <v>129</v>
      </c>
    </row>
    <row r="25" spans="1:2">
      <c r="A25" t="s">
        <v>130</v>
      </c>
    </row>
    <row r="26" spans="1:2">
      <c r="B26" t="s">
        <v>138</v>
      </c>
    </row>
    <row r="27" spans="1:2">
      <c r="B27" t="s">
        <v>139</v>
      </c>
    </row>
    <row r="28" spans="1:2">
      <c r="B28" t="s">
        <v>140</v>
      </c>
    </row>
    <row r="31" spans="1:2">
      <c r="A31" t="s">
        <v>143</v>
      </c>
    </row>
    <row r="32" spans="1:2">
      <c r="A32" t="s">
        <v>144</v>
      </c>
    </row>
    <row r="33" spans="1:1">
      <c r="A33" t="s">
        <v>145</v>
      </c>
    </row>
    <row r="34" spans="1:1">
      <c r="A34" t="s">
        <v>146</v>
      </c>
    </row>
    <row r="35" spans="1:1">
      <c r="A3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John Stats</vt:lpstr>
      <vt:lpstr>bubble data</vt:lpstr>
      <vt:lpstr>chapter locations</vt:lpstr>
      <vt:lpstr>City Levels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Dzubinski</dc:creator>
  <cp:lastModifiedBy>Paul Dzubinski</cp:lastModifiedBy>
  <dcterms:created xsi:type="dcterms:W3CDTF">2026-07-31T22:20:42Z</dcterms:created>
  <dcterms:modified xsi:type="dcterms:W3CDTF">2026-08-01T06:20:43Z</dcterms:modified>
</cp:coreProperties>
</file>